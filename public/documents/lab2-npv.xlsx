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punj/Desktop/"/>
    </mc:Choice>
  </mc:AlternateContent>
  <xr:revisionPtr revIDLastSave="0" documentId="8_{D1C37531-9D10-194A-B103-ECE9BD18E5EB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NPV IRR Payback" sheetId="1" state="hidden" r:id="rId1"/>
    <sheet name="NPV IRR Payback Base" sheetId="13" r:id="rId2"/>
  </sheets>
  <definedNames>
    <definedName name="_xlnm.Print_Area" localSheetId="0">'NPV IRR Payback'!$B$4:$K$66</definedName>
    <definedName name="_xlnm.Print_Area" localSheetId="1">'NPV IRR Payback Base'!$D$5:$M$11</definedName>
    <definedName name="_xlnm.Print_Titles" localSheetId="0">'NPV IRR Payback'!$A:$A,'NPV IRR Payback'!$1:$3</definedName>
    <definedName name="_xlnm.Print_Titles" localSheetId="1">'NPV IRR Payback Base'!$A:$A,'NPV IRR Payback Base'!$1:$2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13" l="1"/>
  <c r="D42" i="13"/>
  <c r="D28" i="13"/>
  <c r="C74" i="13"/>
  <c r="C73" i="13"/>
  <c r="C72" i="13"/>
  <c r="E70" i="13"/>
  <c r="F70" i="13" s="1"/>
  <c r="G70" i="13" s="1"/>
  <c r="H70" i="13" s="1"/>
  <c r="I70" i="13" s="1"/>
  <c r="J70" i="13" s="1"/>
  <c r="K70" i="13" s="1"/>
  <c r="D70" i="13"/>
  <c r="E69" i="13"/>
  <c r="F69" i="13"/>
  <c r="G69" i="13"/>
  <c r="H69" i="13"/>
  <c r="I69" i="13"/>
  <c r="J69" i="13"/>
  <c r="K69" i="13"/>
  <c r="D69" i="13"/>
  <c r="C70" i="13"/>
  <c r="C69" i="13"/>
  <c r="E66" i="13"/>
  <c r="F66" i="13"/>
  <c r="G66" i="13"/>
  <c r="H66" i="13"/>
  <c r="I66" i="13"/>
  <c r="J66" i="13"/>
  <c r="K66" i="13"/>
  <c r="D66" i="13"/>
  <c r="C59" i="13"/>
  <c r="D57" i="13"/>
  <c r="C57" i="13"/>
  <c r="C58" i="13"/>
  <c r="E55" i="13"/>
  <c r="F55" i="13" s="1"/>
  <c r="G55" i="13" s="1"/>
  <c r="H55" i="13" s="1"/>
  <c r="I55" i="13" s="1"/>
  <c r="J55" i="13" s="1"/>
  <c r="D55" i="13"/>
  <c r="E54" i="13"/>
  <c r="F54" i="13"/>
  <c r="G54" i="13"/>
  <c r="H54" i="13"/>
  <c r="I54" i="13"/>
  <c r="J54" i="13"/>
  <c r="D54" i="13"/>
  <c r="C55" i="13"/>
  <c r="C54" i="13"/>
  <c r="E51" i="13"/>
  <c r="F51" i="13"/>
  <c r="G51" i="13"/>
  <c r="H51" i="13"/>
  <c r="I51" i="13"/>
  <c r="J51" i="13"/>
  <c r="J53" i="13" s="1"/>
  <c r="D51" i="13"/>
  <c r="C44" i="13"/>
  <c r="C43" i="13"/>
  <c r="C42" i="13"/>
  <c r="H36" i="13"/>
  <c r="I36" i="13"/>
  <c r="J36" i="13"/>
  <c r="E40" i="13"/>
  <c r="F40" i="13"/>
  <c r="G40" i="13"/>
  <c r="D40" i="13"/>
  <c r="E39" i="13"/>
  <c r="F39" i="13"/>
  <c r="G39" i="13"/>
  <c r="D39" i="13"/>
  <c r="C30" i="13"/>
  <c r="C40" i="13"/>
  <c r="C39" i="13"/>
  <c r="E36" i="13"/>
  <c r="F36" i="13"/>
  <c r="G36" i="13"/>
  <c r="G38" i="13" s="1"/>
  <c r="D36" i="13"/>
  <c r="C16" i="13"/>
  <c r="C29" i="13"/>
  <c r="E25" i="13"/>
  <c r="F25" i="13"/>
  <c r="G25" i="13"/>
  <c r="H25" i="13"/>
  <c r="I25" i="13"/>
  <c r="J25" i="13"/>
  <c r="D25" i="13"/>
  <c r="E26" i="13"/>
  <c r="F26" i="13" s="1"/>
  <c r="G26" i="13" s="1"/>
  <c r="H26" i="13" s="1"/>
  <c r="I26" i="13" s="1"/>
  <c r="J26" i="13" s="1"/>
  <c r="D26" i="13"/>
  <c r="D11" i="13"/>
  <c r="C26" i="13"/>
  <c r="C25" i="13"/>
  <c r="E22" i="13"/>
  <c r="F22" i="13"/>
  <c r="G22" i="13"/>
  <c r="G24" i="13" s="1"/>
  <c r="H22" i="13"/>
  <c r="I22" i="13"/>
  <c r="J22" i="13"/>
  <c r="J24" i="13" s="1"/>
  <c r="D22" i="13"/>
  <c r="E12" i="13"/>
  <c r="F12" i="13"/>
  <c r="G12" i="13"/>
  <c r="H12" i="13"/>
  <c r="I12" i="13"/>
  <c r="J12" i="13" s="1"/>
  <c r="D12" i="13"/>
  <c r="C12" i="13"/>
  <c r="D14" i="13"/>
  <c r="E11" i="13"/>
  <c r="F11" i="13"/>
  <c r="G11" i="13"/>
  <c r="H11" i="13"/>
  <c r="I11" i="13"/>
  <c r="J11" i="13"/>
  <c r="C11" i="13"/>
  <c r="C15" i="13"/>
  <c r="D10" i="13"/>
  <c r="E8" i="13"/>
  <c r="F8" i="13"/>
  <c r="F10" i="13" s="1"/>
  <c r="G8" i="13"/>
  <c r="H8" i="13"/>
  <c r="I8" i="13"/>
  <c r="J8" i="13"/>
  <c r="J10" i="13" s="1"/>
  <c r="D8" i="13"/>
  <c r="A10" i="13"/>
  <c r="E68" i="13"/>
  <c r="F68" i="13"/>
  <c r="G68" i="13"/>
  <c r="H68" i="13"/>
  <c r="I68" i="13"/>
  <c r="J68" i="13"/>
  <c r="K68" i="13"/>
  <c r="D68" i="13"/>
  <c r="K51" i="13"/>
  <c r="K53" i="13" s="1"/>
  <c r="E53" i="13"/>
  <c r="F53" i="13"/>
  <c r="G53" i="13"/>
  <c r="H53" i="13"/>
  <c r="I53" i="13"/>
  <c r="D53" i="13"/>
  <c r="E38" i="13"/>
  <c r="F38" i="13"/>
  <c r="D38" i="13"/>
  <c r="E24" i="13"/>
  <c r="H24" i="13"/>
  <c r="I24" i="13"/>
  <c r="D24" i="13"/>
  <c r="F24" i="13"/>
  <c r="E10" i="13"/>
  <c r="G10" i="13"/>
  <c r="H10" i="13"/>
  <c r="I10" i="13"/>
  <c r="E1" i="13"/>
  <c r="F1" i="13" s="1"/>
  <c r="B51" i="1"/>
  <c r="B42" i="1"/>
  <c r="B33" i="1"/>
  <c r="B24" i="1"/>
  <c r="B15" i="1"/>
  <c r="B59" i="1"/>
  <c r="B6" i="1"/>
  <c r="C28" i="13" l="1"/>
  <c r="C14" i="13"/>
  <c r="G1" i="13"/>
  <c r="B55" i="1"/>
  <c r="B54" i="1"/>
  <c r="B46" i="1"/>
  <c r="B45" i="1"/>
  <c r="B37" i="1"/>
  <c r="B36" i="1"/>
  <c r="B19" i="1"/>
  <c r="B18" i="1"/>
  <c r="B10" i="1"/>
  <c r="H1" i="13" l="1"/>
  <c r="B9" i="1"/>
  <c r="I1" i="13" l="1"/>
  <c r="I24" i="1"/>
  <c r="C60" i="1"/>
  <c r="D60" i="1"/>
  <c r="E60" i="1"/>
  <c r="F60" i="1"/>
  <c r="G60" i="1"/>
  <c r="H60" i="1"/>
  <c r="B60" i="1"/>
  <c r="B52" i="1"/>
  <c r="C52" i="1" s="1"/>
  <c r="B43" i="1"/>
  <c r="C43" i="1" s="1"/>
  <c r="B34" i="1"/>
  <c r="C34" i="1" s="1"/>
  <c r="B25" i="1"/>
  <c r="C25" i="1" s="1"/>
  <c r="D25" i="1" s="1"/>
  <c r="B16" i="1"/>
  <c r="C16" i="1" s="1"/>
  <c r="D16" i="1" s="1"/>
  <c r="B7" i="1"/>
  <c r="C7" i="1" s="1"/>
  <c r="J1" i="13" l="1"/>
  <c r="K1" i="13" s="1"/>
  <c r="I60" i="1"/>
  <c r="J24" i="1"/>
  <c r="J60" i="1" s="1"/>
  <c r="B63" i="1" s="1"/>
  <c r="B61" i="1"/>
  <c r="C61" i="1" s="1"/>
  <c r="D61" i="1" s="1"/>
  <c r="D62" i="1" s="1"/>
  <c r="D52" i="1"/>
  <c r="C53" i="1"/>
  <c r="C44" i="1"/>
  <c r="D43" i="1"/>
  <c r="E43" i="1" s="1"/>
  <c r="F43" i="1" s="1"/>
  <c r="C35" i="1"/>
  <c r="D34" i="1"/>
  <c r="E34" i="1" s="1"/>
  <c r="F34" i="1" s="1"/>
  <c r="D26" i="1"/>
  <c r="E25" i="1"/>
  <c r="C26" i="1"/>
  <c r="D17" i="1"/>
  <c r="E16" i="1"/>
  <c r="C17" i="1"/>
  <c r="D7" i="1"/>
  <c r="C8" i="1"/>
  <c r="B27" i="1" l="1"/>
  <c r="B28" i="1"/>
  <c r="B64" i="1"/>
  <c r="E61" i="1"/>
  <c r="F61" i="1" s="1"/>
  <c r="C62" i="1"/>
  <c r="E52" i="1"/>
  <c r="D53" i="1"/>
  <c r="E44" i="1"/>
  <c r="D44" i="1"/>
  <c r="G43" i="1"/>
  <c r="F44" i="1"/>
  <c r="E35" i="1"/>
  <c r="D35" i="1"/>
  <c r="G34" i="1"/>
  <c r="F35" i="1"/>
  <c r="E26" i="1"/>
  <c r="F25" i="1"/>
  <c r="F16" i="1"/>
  <c r="E17" i="1"/>
  <c r="E7" i="1"/>
  <c r="D8" i="1"/>
  <c r="E62" i="1" l="1"/>
  <c r="G61" i="1"/>
  <c r="F62" i="1"/>
  <c r="F52" i="1"/>
  <c r="E53" i="1"/>
  <c r="G44" i="1"/>
  <c r="H43" i="1"/>
  <c r="G35" i="1"/>
  <c r="H34" i="1"/>
  <c r="G25" i="1"/>
  <c r="F26" i="1"/>
  <c r="G16" i="1"/>
  <c r="F17" i="1"/>
  <c r="F7" i="1"/>
  <c r="E8" i="1"/>
  <c r="D1" i="1"/>
  <c r="H61" i="1" l="1"/>
  <c r="G62" i="1"/>
  <c r="G52" i="1"/>
  <c r="F53" i="1"/>
  <c r="I43" i="1"/>
  <c r="H44" i="1"/>
  <c r="I34" i="1"/>
  <c r="H35" i="1"/>
  <c r="H25" i="1"/>
  <c r="G26" i="1"/>
  <c r="H16" i="1"/>
  <c r="G17" i="1"/>
  <c r="G7" i="1"/>
  <c r="F8" i="1"/>
  <c r="E1" i="1"/>
  <c r="H62" i="1" l="1"/>
  <c r="I61" i="1"/>
  <c r="H52" i="1"/>
  <c r="G53" i="1"/>
  <c r="I44" i="1"/>
  <c r="J43" i="1"/>
  <c r="I35" i="1"/>
  <c r="J34" i="1"/>
  <c r="J35" i="1" s="1"/>
  <c r="H26" i="1"/>
  <c r="I25" i="1"/>
  <c r="H17" i="1"/>
  <c r="I16" i="1"/>
  <c r="H7" i="1"/>
  <c r="G8" i="1"/>
  <c r="F1" i="1"/>
  <c r="B38" i="1" l="1"/>
  <c r="I62" i="1"/>
  <c r="J61" i="1"/>
  <c r="H53" i="1"/>
  <c r="I52" i="1"/>
  <c r="J44" i="1"/>
  <c r="B47" i="1"/>
  <c r="I26" i="1"/>
  <c r="J25" i="1"/>
  <c r="J16" i="1"/>
  <c r="I17" i="1"/>
  <c r="I7" i="1"/>
  <c r="H8" i="1"/>
  <c r="G1" i="1"/>
  <c r="H1" i="1" s="1"/>
  <c r="I1" i="1" s="1"/>
  <c r="J1" i="1" s="1"/>
  <c r="J62" i="1" l="1"/>
  <c r="B65" i="1"/>
  <c r="I53" i="1"/>
  <c r="J52" i="1"/>
  <c r="J26" i="1"/>
  <c r="B29" i="1"/>
  <c r="J17" i="1"/>
  <c r="B20" i="1"/>
  <c r="J7" i="1"/>
  <c r="J8" i="1" s="1"/>
  <c r="I8" i="1"/>
  <c r="B11" i="1" l="1"/>
  <c r="J53" i="1"/>
  <c r="B56" i="1"/>
</calcChain>
</file>

<file path=xl/sharedStrings.xml><?xml version="1.0" encoding="utf-8"?>
<sst xmlns="http://schemas.openxmlformats.org/spreadsheetml/2006/main" count="114" uniqueCount="25">
  <si>
    <t>Year</t>
  </si>
  <si>
    <t>($'000's)</t>
  </si>
  <si>
    <t>Net Present Value</t>
  </si>
  <si>
    <t>Internal Rate of Return</t>
  </si>
  <si>
    <t>Payback Period</t>
  </si>
  <si>
    <t>Opportunity #1</t>
  </si>
  <si>
    <t>Cumulative Cash Flow</t>
  </si>
  <si>
    <t>Fraction Calculation</t>
  </si>
  <si>
    <t>Cash Flows</t>
  </si>
  <si>
    <t>Opportunity #2</t>
  </si>
  <si>
    <t>Opportunity #3</t>
  </si>
  <si>
    <t>Opportunity #4</t>
  </si>
  <si>
    <t>Opportunity #5</t>
  </si>
  <si>
    <t>Opportunity #6</t>
  </si>
  <si>
    <t>Total</t>
  </si>
  <si>
    <t>Initial Investment</t>
  </si>
  <si>
    <t>NPV</t>
  </si>
  <si>
    <t>IRR</t>
  </si>
  <si>
    <t>Sales</t>
  </si>
  <si>
    <t>Gross Margin Dollars</t>
  </si>
  <si>
    <t>Fixed Costs</t>
  </si>
  <si>
    <t>Discount rate</t>
  </si>
  <si>
    <t>Cumulative Cash Flows</t>
  </si>
  <si>
    <t>Net Income/Cash Flow</t>
  </si>
  <si>
    <t>Base Case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</si>
</sst>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.0"/>
    <numFmt numFmtId="167" formatCode="&quot;$&quot;#,##0"/>
    <numFmt numFmtId="168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2">
    <xf numFmtId="0" fontId="0" fillId="0" borderId="0" xfId="0"/>
    <xf numFmtId="10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167" fontId="2" fillId="0" borderId="0" xfId="1" applyNumberFormat="1" applyFont="1" applyFill="1" applyAlignment="1">
      <alignment horizontal="center" vertical="center"/>
    </xf>
    <xf numFmtId="168" fontId="2" fillId="0" borderId="0" xfId="1" applyNumberFormat="1" applyFont="1" applyFill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3" applyFont="1" applyFill="1" applyAlignment="1">
      <alignment horizontal="left" vertical="center"/>
    </xf>
    <xf numFmtId="165" fontId="2" fillId="0" borderId="0" xfId="3" applyFont="1" applyFill="1" applyAlignment="1">
      <alignment horizontal="center" vertical="center"/>
    </xf>
    <xf numFmtId="165" fontId="2" fillId="0" borderId="1" xfId="3" applyFont="1" applyFill="1" applyBorder="1" applyAlignment="1">
      <alignment horizontal="center" vertical="center"/>
    </xf>
    <xf numFmtId="9" fontId="2" fillId="2" borderId="0" xfId="3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center" vertical="center"/>
    </xf>
    <xf numFmtId="165" fontId="2" fillId="4" borderId="0" xfId="3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left" vertical="center"/>
    </xf>
    <xf numFmtId="10" fontId="2" fillId="4" borderId="0" xfId="0" applyNumberFormat="1" applyFont="1" applyFill="1" applyAlignment="1">
      <alignment horizontal="left" vertical="center"/>
    </xf>
    <xf numFmtId="2" fontId="2" fillId="4" borderId="0" xfId="0" applyNumberFormat="1" applyFont="1" applyFill="1" applyAlignment="1">
      <alignment horizontal="left" vertical="center"/>
    </xf>
    <xf numFmtId="165" fontId="2" fillId="4" borderId="0" xfId="3" applyFont="1" applyFill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/>
    </xf>
    <xf numFmtId="10" fontId="2" fillId="0" borderId="0" xfId="3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</cellXfs>
  <cellStyles count="4">
    <cellStyle name="Currency" xfId="3" builtinId="4"/>
    <cellStyle name="Currency 2" xfId="2" xr:uid="{00000000-0005-0000-0000-000000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zoomScaleNormal="10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B70" sqref="B70"/>
    </sheetView>
  </sheetViews>
  <sheetFormatPr baseColWidth="10" defaultColWidth="8.83203125" defaultRowHeight="16" x14ac:dyDescent="0.2"/>
  <cols>
    <col min="1" max="1" width="36.83203125" style="3" customWidth="1"/>
    <col min="2" max="10" width="10.5" style="2" customWidth="1"/>
    <col min="11" max="11" width="2.5" style="2" customWidth="1"/>
    <col min="12" max="16384" width="8.83203125" style="2"/>
  </cols>
  <sheetData>
    <row r="1" spans="1:10" x14ac:dyDescent="0.2">
      <c r="A1" s="3" t="s">
        <v>0</v>
      </c>
      <c r="B1" s="2">
        <v>0</v>
      </c>
      <c r="C1" s="2">
        <v>1</v>
      </c>
      <c r="D1" s="2">
        <f>+C1+1</f>
        <v>2</v>
      </c>
      <c r="E1" s="2">
        <f>+D1+1</f>
        <v>3</v>
      </c>
      <c r="F1" s="2">
        <f>+E1+1</f>
        <v>4</v>
      </c>
      <c r="G1" s="2">
        <f>+F1+1</f>
        <v>5</v>
      </c>
      <c r="H1" s="2">
        <f t="shared" ref="H1:J1" si="0">+G1+1</f>
        <v>6</v>
      </c>
      <c r="I1" s="2">
        <f t="shared" si="0"/>
        <v>7</v>
      </c>
      <c r="J1" s="2">
        <f t="shared" si="0"/>
        <v>8</v>
      </c>
    </row>
    <row r="2" spans="1:10" x14ac:dyDescent="0.2"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</row>
    <row r="3" spans="1:10" ht="8.5" customHeight="1" x14ac:dyDescent="0.2"/>
    <row r="4" spans="1:10" x14ac:dyDescent="0.2">
      <c r="A4" s="3" t="s">
        <v>5</v>
      </c>
    </row>
    <row r="5" spans="1:10" x14ac:dyDescent="0.2">
      <c r="A5" s="3" t="s">
        <v>15</v>
      </c>
      <c r="B5" s="4">
        <v>2000</v>
      </c>
    </row>
    <row r="6" spans="1:10" x14ac:dyDescent="0.2">
      <c r="A6" s="3" t="s">
        <v>8</v>
      </c>
      <c r="B6" s="4">
        <f>-B5</f>
        <v>-2000</v>
      </c>
      <c r="C6" s="4">
        <v>400</v>
      </c>
      <c r="D6" s="4">
        <v>600</v>
      </c>
      <c r="E6" s="4">
        <v>600</v>
      </c>
      <c r="F6" s="4">
        <v>800</v>
      </c>
      <c r="G6" s="4">
        <v>600</v>
      </c>
      <c r="H6" s="4">
        <v>300</v>
      </c>
      <c r="I6" s="4">
        <v>0</v>
      </c>
      <c r="J6" s="4">
        <v>0</v>
      </c>
    </row>
    <row r="7" spans="1:10" x14ac:dyDescent="0.2">
      <c r="A7" s="3" t="s">
        <v>6</v>
      </c>
      <c r="B7" s="4">
        <f>+B6</f>
        <v>-2000</v>
      </c>
      <c r="C7" s="4">
        <f>+B7+C6</f>
        <v>-1600</v>
      </c>
      <c r="D7" s="4">
        <f t="shared" ref="D7:J7" si="1">+C7+D6</f>
        <v>-1000</v>
      </c>
      <c r="E7" s="4">
        <f t="shared" si="1"/>
        <v>-400</v>
      </c>
      <c r="F7" s="4">
        <f t="shared" si="1"/>
        <v>400</v>
      </c>
      <c r="G7" s="4">
        <f t="shared" si="1"/>
        <v>1000</v>
      </c>
      <c r="H7" s="4">
        <f t="shared" si="1"/>
        <v>1300</v>
      </c>
      <c r="I7" s="4">
        <f t="shared" si="1"/>
        <v>1300</v>
      </c>
      <c r="J7" s="4">
        <f t="shared" si="1"/>
        <v>1300</v>
      </c>
    </row>
    <row r="8" spans="1:10" x14ac:dyDescent="0.2">
      <c r="A8" s="3" t="s">
        <v>7</v>
      </c>
      <c r="B8" s="4"/>
      <c r="C8" s="7" t="str">
        <f>IF(C7&lt;0,"n/a",ABS(B7/C6))</f>
        <v>n/a</v>
      </c>
      <c r="D8" s="7" t="str">
        <f t="shared" ref="D8:J8" si="2">IF(D7&lt;0,"n/a",ABS(C7/D6))</f>
        <v>n/a</v>
      </c>
      <c r="E8" s="7" t="str">
        <f t="shared" si="2"/>
        <v>n/a</v>
      </c>
      <c r="F8" s="7">
        <f t="shared" si="2"/>
        <v>0.5</v>
      </c>
      <c r="G8" s="7">
        <f t="shared" si="2"/>
        <v>0.66666666666666663</v>
      </c>
      <c r="H8" s="7">
        <f t="shared" si="2"/>
        <v>3.3333333333333335</v>
      </c>
      <c r="I8" s="7" t="e">
        <f t="shared" si="2"/>
        <v>#DIV/0!</v>
      </c>
      <c r="J8" s="7" t="e">
        <f t="shared" si="2"/>
        <v>#DIV/0!</v>
      </c>
    </row>
    <row r="9" spans="1:10" x14ac:dyDescent="0.2">
      <c r="A9" s="3" t="s">
        <v>2</v>
      </c>
      <c r="B9" s="4">
        <f>NPV(0.13,C6:J6)+B6</f>
        <v>200.10691024896369</v>
      </c>
      <c r="C9" s="4"/>
      <c r="D9" s="5"/>
      <c r="E9" s="5"/>
      <c r="F9" s="5"/>
      <c r="G9" s="5"/>
      <c r="H9" s="5"/>
      <c r="I9" s="5"/>
      <c r="J9" s="5"/>
    </row>
    <row r="10" spans="1:10" x14ac:dyDescent="0.2">
      <c r="A10" s="3" t="s">
        <v>3</v>
      </c>
      <c r="B10" s="1">
        <f>IRR(B6:J6)</f>
        <v>0.16477067287726133</v>
      </c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4</v>
      </c>
      <c r="B11" s="6">
        <f>COUNTIF(C7:K7,"&lt;0")+INDEX(C8:K8,,COUNTIF(C7:K7,"&lt;0")+1)</f>
        <v>3.5</v>
      </c>
      <c r="C11" s="4"/>
      <c r="D11" s="4"/>
      <c r="E11" s="4"/>
      <c r="F11" s="4"/>
      <c r="G11" s="4"/>
      <c r="H11" s="4"/>
      <c r="I11" s="4"/>
      <c r="J11" s="4"/>
    </row>
    <row r="12" spans="1:10" x14ac:dyDescent="0.2"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3" t="s">
        <v>9</v>
      </c>
    </row>
    <row r="14" spans="1:10" x14ac:dyDescent="0.2">
      <c r="A14" s="3" t="s">
        <v>15</v>
      </c>
      <c r="B14" s="4">
        <v>1000</v>
      </c>
    </row>
    <row r="15" spans="1:10" x14ac:dyDescent="0.2">
      <c r="A15" s="3" t="s">
        <v>8</v>
      </c>
      <c r="B15" s="4">
        <f>-B14</f>
        <v>-1000</v>
      </c>
      <c r="C15" s="4">
        <v>600</v>
      </c>
      <c r="D15" s="4">
        <v>450</v>
      </c>
      <c r="E15" s="4">
        <v>250</v>
      </c>
      <c r="F15" s="4"/>
      <c r="G15" s="4"/>
      <c r="H15" s="4"/>
      <c r="I15" s="4"/>
      <c r="J15" s="4"/>
    </row>
    <row r="16" spans="1:10" x14ac:dyDescent="0.2">
      <c r="A16" s="3" t="s">
        <v>6</v>
      </c>
      <c r="B16" s="4">
        <f>+B15</f>
        <v>-1000</v>
      </c>
      <c r="C16" s="4">
        <f>+B16+C15</f>
        <v>-400</v>
      </c>
      <c r="D16" s="4">
        <f t="shared" ref="D16" si="3">+C16+D15</f>
        <v>50</v>
      </c>
      <c r="E16" s="4">
        <f t="shared" ref="E16" si="4">+D16+E15</f>
        <v>300</v>
      </c>
      <c r="F16" s="4">
        <f t="shared" ref="F16" si="5">+E16+F15</f>
        <v>300</v>
      </c>
      <c r="G16" s="4">
        <f t="shared" ref="G16" si="6">+F16+G15</f>
        <v>300</v>
      </c>
      <c r="H16" s="4">
        <f t="shared" ref="H16" si="7">+G16+H15</f>
        <v>300</v>
      </c>
      <c r="I16" s="4">
        <f t="shared" ref="I16" si="8">+H16+I15</f>
        <v>300</v>
      </c>
      <c r="J16" s="4">
        <f t="shared" ref="J16" si="9">+I16+J15</f>
        <v>300</v>
      </c>
    </row>
    <row r="17" spans="1:10" x14ac:dyDescent="0.2">
      <c r="A17" s="3" t="s">
        <v>7</v>
      </c>
      <c r="B17" s="4"/>
      <c r="C17" s="7" t="str">
        <f>IF(C16&lt;0,"n/a",ABS(B16/C15))</f>
        <v>n/a</v>
      </c>
      <c r="D17" s="7">
        <f t="shared" ref="D17" si="10">IF(D16&lt;0,"n/a",ABS(C16/D15))</f>
        <v>0.88888888888888884</v>
      </c>
      <c r="E17" s="7">
        <f t="shared" ref="E17" si="11">IF(E16&lt;0,"n/a",ABS(D16/E15))</f>
        <v>0.2</v>
      </c>
      <c r="F17" s="7" t="e">
        <f t="shared" ref="F17" si="12">IF(F16&lt;0,"n/a",ABS(E16/F15))</f>
        <v>#DIV/0!</v>
      </c>
      <c r="G17" s="7" t="e">
        <f t="shared" ref="G17" si="13">IF(G16&lt;0,"n/a",ABS(F16/G15))</f>
        <v>#DIV/0!</v>
      </c>
      <c r="H17" s="7" t="e">
        <f t="shared" ref="H17" si="14">IF(H16&lt;0,"n/a",ABS(G16/H15))</f>
        <v>#DIV/0!</v>
      </c>
      <c r="I17" s="7" t="e">
        <f t="shared" ref="I17" si="15">IF(I16&lt;0,"n/a",ABS(H16/I15))</f>
        <v>#DIV/0!</v>
      </c>
      <c r="J17" s="7" t="e">
        <f t="shared" ref="J17" si="16">IF(J16&lt;0,"n/a",ABS(I16/J15))</f>
        <v>#DIV/0!</v>
      </c>
    </row>
    <row r="18" spans="1:10" x14ac:dyDescent="0.2">
      <c r="A18" s="3" t="s">
        <v>2</v>
      </c>
      <c r="B18" s="4">
        <f>NPV(0.13,C15:J15)+B15</f>
        <v>56.651999415065802</v>
      </c>
      <c r="C18" s="4"/>
      <c r="D18" s="5"/>
      <c r="E18" s="5"/>
      <c r="F18" s="5"/>
      <c r="G18" s="5"/>
      <c r="H18" s="5"/>
      <c r="I18" s="5"/>
      <c r="J18" s="5"/>
    </row>
    <row r="19" spans="1:10" x14ac:dyDescent="0.2">
      <c r="A19" s="3" t="s">
        <v>3</v>
      </c>
      <c r="B19" s="1">
        <f>IRR(B15:J15)</f>
        <v>0.16832148357121479</v>
      </c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3" t="s">
        <v>4</v>
      </c>
      <c r="B20" s="6">
        <f>COUNTIF(C16:K16,"&lt;0")+INDEX(C17:K17,,COUNTIF(C16:K16,"&lt;0")+1)</f>
        <v>1.8888888888888888</v>
      </c>
      <c r="C20" s="4"/>
      <c r="D20" s="4"/>
      <c r="E20" s="4"/>
      <c r="F20" s="4"/>
      <c r="G20" s="4"/>
      <c r="H20" s="4"/>
      <c r="I20" s="4"/>
      <c r="J20" s="4"/>
    </row>
    <row r="21" spans="1:10" x14ac:dyDescent="0.2">
      <c r="C21" s="8"/>
      <c r="D21" s="8"/>
      <c r="E21" s="8"/>
      <c r="F21" s="8"/>
      <c r="G21" s="8"/>
      <c r="H21" s="8"/>
      <c r="I21" s="8"/>
      <c r="J21" s="8"/>
    </row>
    <row r="22" spans="1:10" x14ac:dyDescent="0.2">
      <c r="A22" s="3" t="s">
        <v>10</v>
      </c>
    </row>
    <row r="23" spans="1:10" x14ac:dyDescent="0.2">
      <c r="A23" s="3" t="s">
        <v>15</v>
      </c>
      <c r="B23" s="4">
        <v>2500</v>
      </c>
    </row>
    <row r="24" spans="1:10" x14ac:dyDescent="0.2">
      <c r="A24" s="3" t="s">
        <v>8</v>
      </c>
      <c r="B24" s="4">
        <f>-B23</f>
        <v>-2500</v>
      </c>
      <c r="C24" s="4">
        <v>200</v>
      </c>
      <c r="D24" s="4">
        <v>400</v>
      </c>
      <c r="E24" s="4">
        <v>700</v>
      </c>
      <c r="F24" s="4">
        <v>1100</v>
      </c>
      <c r="G24" s="4">
        <v>1800</v>
      </c>
      <c r="H24" s="4">
        <v>2100</v>
      </c>
      <c r="I24" s="4">
        <f>+H24</f>
        <v>2100</v>
      </c>
      <c r="J24" s="4">
        <f>+I24</f>
        <v>2100</v>
      </c>
    </row>
    <row r="25" spans="1:10" x14ac:dyDescent="0.2">
      <c r="A25" s="3" t="s">
        <v>6</v>
      </c>
      <c r="B25" s="4">
        <f>+B24</f>
        <v>-2500</v>
      </c>
      <c r="C25" s="4">
        <f>+B25+C24</f>
        <v>-2300</v>
      </c>
      <c r="D25" s="4">
        <f t="shared" ref="D25" si="17">+C25+D24</f>
        <v>-1900</v>
      </c>
      <c r="E25" s="4">
        <f t="shared" ref="E25" si="18">+D25+E24</f>
        <v>-1200</v>
      </c>
      <c r="F25" s="4">
        <f t="shared" ref="F25" si="19">+E25+F24</f>
        <v>-100</v>
      </c>
      <c r="G25" s="4">
        <f t="shared" ref="G25" si="20">+F25+G24</f>
        <v>1700</v>
      </c>
      <c r="H25" s="4">
        <f t="shared" ref="H25" si="21">+G25+H24</f>
        <v>3800</v>
      </c>
      <c r="I25" s="4">
        <f t="shared" ref="I25" si="22">+H25+I24</f>
        <v>5900</v>
      </c>
      <c r="J25" s="4">
        <f t="shared" ref="J25" si="23">+I25+J24</f>
        <v>8000</v>
      </c>
    </row>
    <row r="26" spans="1:10" x14ac:dyDescent="0.2">
      <c r="A26" s="3" t="s">
        <v>7</v>
      </c>
      <c r="B26" s="4"/>
      <c r="C26" s="7" t="str">
        <f>IF(C25&lt;0,"n/a",ABS(B25/C24))</f>
        <v>n/a</v>
      </c>
      <c r="D26" s="7" t="str">
        <f t="shared" ref="D26" si="24">IF(D25&lt;0,"n/a",ABS(C25/D24))</f>
        <v>n/a</v>
      </c>
      <c r="E26" s="7" t="str">
        <f t="shared" ref="E26" si="25">IF(E25&lt;0,"n/a",ABS(D25/E24))</f>
        <v>n/a</v>
      </c>
      <c r="F26" s="7" t="str">
        <f t="shared" ref="F26" si="26">IF(F25&lt;0,"n/a",ABS(E25/F24))</f>
        <v>n/a</v>
      </c>
      <c r="G26" s="7">
        <f t="shared" ref="G26" si="27">IF(G25&lt;0,"n/a",ABS(F25/G24))</f>
        <v>5.5555555555555552E-2</v>
      </c>
      <c r="H26" s="7">
        <f t="shared" ref="H26" si="28">IF(H25&lt;0,"n/a",ABS(G25/H24))</f>
        <v>0.80952380952380953</v>
      </c>
      <c r="I26" s="7">
        <f t="shared" ref="I26" si="29">IF(I25&lt;0,"n/a",ABS(H25/I24))</f>
        <v>1.8095238095238095</v>
      </c>
      <c r="J26" s="7">
        <f t="shared" ref="J26" si="30">IF(J25&lt;0,"n/a",ABS(I25/J24))</f>
        <v>2.8095238095238093</v>
      </c>
    </row>
    <row r="27" spans="1:10" x14ac:dyDescent="0.2">
      <c r="A27" s="3" t="s">
        <v>2</v>
      </c>
      <c r="B27" s="4">
        <f>NPV(0.13,C24:J24)+B24</f>
        <v>2818.2353917259234</v>
      </c>
      <c r="C27" s="4"/>
      <c r="D27" s="5"/>
      <c r="E27" s="5"/>
      <c r="F27" s="5"/>
      <c r="G27" s="5"/>
      <c r="H27" s="5"/>
      <c r="I27" s="5"/>
      <c r="J27" s="5"/>
    </row>
    <row r="28" spans="1:10" x14ac:dyDescent="0.2">
      <c r="A28" s="3" t="s">
        <v>3</v>
      </c>
      <c r="B28" s="1">
        <f>IRR(B24:J24)</f>
        <v>0.31131734664257515</v>
      </c>
      <c r="C28" s="4"/>
      <c r="D28" s="4"/>
      <c r="E28" s="4"/>
      <c r="F28" s="4"/>
      <c r="G28" s="4"/>
      <c r="H28" s="4"/>
      <c r="I28" s="4"/>
      <c r="J28" s="4"/>
    </row>
    <row r="29" spans="1:10" x14ac:dyDescent="0.2">
      <c r="A29" s="3" t="s">
        <v>4</v>
      </c>
      <c r="B29" s="6">
        <f>COUNTIF(C25:K25,"&lt;0")+INDEX(C26:K26,,COUNTIF(C25:K25,"&lt;0")+1)</f>
        <v>4.0555555555555554</v>
      </c>
      <c r="C29" s="4"/>
      <c r="D29" s="4"/>
      <c r="E29" s="4"/>
      <c r="F29" s="4"/>
      <c r="G29" s="4"/>
      <c r="H29" s="4"/>
      <c r="I29" s="4"/>
      <c r="J29" s="4"/>
    </row>
    <row r="30" spans="1:10" x14ac:dyDescent="0.2">
      <c r="C30" s="8"/>
      <c r="D30" s="8"/>
      <c r="E30" s="8"/>
      <c r="F30" s="8"/>
      <c r="G30" s="8"/>
      <c r="H30" s="8"/>
      <c r="I30" s="8"/>
      <c r="J30" s="8"/>
    </row>
    <row r="31" spans="1:10" x14ac:dyDescent="0.2">
      <c r="A31" s="3" t="s">
        <v>11</v>
      </c>
    </row>
    <row r="32" spans="1:10" x14ac:dyDescent="0.2">
      <c r="A32" s="3" t="s">
        <v>15</v>
      </c>
      <c r="B32" s="4">
        <v>1250</v>
      </c>
    </row>
    <row r="33" spans="1:10" x14ac:dyDescent="0.2">
      <c r="A33" s="3" t="s">
        <v>8</v>
      </c>
      <c r="B33" s="4">
        <f>-B32</f>
        <v>-1250</v>
      </c>
      <c r="C33" s="4">
        <v>300</v>
      </c>
      <c r="D33" s="4">
        <v>450</v>
      </c>
      <c r="E33" s="4">
        <v>450</v>
      </c>
      <c r="F33" s="4">
        <v>200</v>
      </c>
      <c r="G33" s="4">
        <v>100</v>
      </c>
      <c r="H33" s="4"/>
      <c r="I33" s="4"/>
      <c r="J33" s="4"/>
    </row>
    <row r="34" spans="1:10" x14ac:dyDescent="0.2">
      <c r="A34" s="3" t="s">
        <v>6</v>
      </c>
      <c r="B34" s="4">
        <f>+B33</f>
        <v>-1250</v>
      </c>
      <c r="C34" s="4">
        <f>+B34+C33</f>
        <v>-950</v>
      </c>
      <c r="D34" s="4">
        <f t="shared" ref="D34" si="31">+C34+D33</f>
        <v>-500</v>
      </c>
      <c r="E34" s="4">
        <f t="shared" ref="E34" si="32">+D34+E33</f>
        <v>-50</v>
      </c>
      <c r="F34" s="4">
        <f t="shared" ref="F34" si="33">+E34+F33</f>
        <v>150</v>
      </c>
      <c r="G34" s="4">
        <f t="shared" ref="G34" si="34">+F34+G33</f>
        <v>250</v>
      </c>
      <c r="H34" s="4">
        <f t="shared" ref="H34" si="35">+G34+H33</f>
        <v>250</v>
      </c>
      <c r="I34" s="4">
        <f t="shared" ref="I34" si="36">+H34+I33</f>
        <v>250</v>
      </c>
      <c r="J34" s="4">
        <f t="shared" ref="J34" si="37">+I34+J33</f>
        <v>250</v>
      </c>
    </row>
    <row r="35" spans="1:10" x14ac:dyDescent="0.2">
      <c r="A35" s="3" t="s">
        <v>7</v>
      </c>
      <c r="B35" s="4"/>
      <c r="C35" s="7" t="str">
        <f>IF(C34&lt;0,"n/a",ABS(B34/C33))</f>
        <v>n/a</v>
      </c>
      <c r="D35" s="7" t="str">
        <f t="shared" ref="D35" si="38">IF(D34&lt;0,"n/a",ABS(C34/D33))</f>
        <v>n/a</v>
      </c>
      <c r="E35" s="7" t="str">
        <f t="shared" ref="E35" si="39">IF(E34&lt;0,"n/a",ABS(D34/E33))</f>
        <v>n/a</v>
      </c>
      <c r="F35" s="7">
        <f t="shared" ref="F35" si="40">IF(F34&lt;0,"n/a",ABS(E34/F33))</f>
        <v>0.25</v>
      </c>
      <c r="G35" s="7">
        <f t="shared" ref="G35" si="41">IF(G34&lt;0,"n/a",ABS(F34/G33))</f>
        <v>1.5</v>
      </c>
      <c r="H35" s="7" t="e">
        <f t="shared" ref="H35" si="42">IF(H34&lt;0,"n/a",ABS(G34/H33))</f>
        <v>#DIV/0!</v>
      </c>
      <c r="I35" s="7" t="e">
        <f t="shared" ref="I35" si="43">IF(I34&lt;0,"n/a",ABS(H34/I33))</f>
        <v>#DIV/0!</v>
      </c>
      <c r="J35" s="7" t="e">
        <f t="shared" ref="J35" si="44">IF(J34&lt;0,"n/a",ABS(I34/J33))</f>
        <v>#DIV/0!</v>
      </c>
    </row>
    <row r="36" spans="1:10" x14ac:dyDescent="0.2">
      <c r="A36" s="3" t="s">
        <v>2</v>
      </c>
      <c r="B36" s="4">
        <f>NPV(0.13,C33:J33)+B33</f>
        <v>-143.28495465729156</v>
      </c>
      <c r="C36" s="4"/>
      <c r="D36" s="5"/>
      <c r="E36" s="5"/>
      <c r="F36" s="5"/>
      <c r="G36" s="5"/>
      <c r="H36" s="5"/>
      <c r="I36" s="5"/>
      <c r="J36" s="5"/>
    </row>
    <row r="37" spans="1:10" x14ac:dyDescent="0.2">
      <c r="A37" s="3" t="s">
        <v>3</v>
      </c>
      <c r="B37" s="1">
        <f>IRR(B33:J33)</f>
        <v>7.5040914559645344E-2</v>
      </c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3" t="s">
        <v>4</v>
      </c>
      <c r="B38" s="6">
        <f>COUNTIF(C34:K34,"&lt;0")+INDEX(C35:K35,,COUNTIF(C34:K34,"&lt;0")+1)</f>
        <v>3.25</v>
      </c>
      <c r="C38" s="4"/>
      <c r="D38" s="4"/>
      <c r="E38" s="4"/>
      <c r="F38" s="4"/>
      <c r="G38" s="4"/>
      <c r="H38" s="4"/>
      <c r="I38" s="4"/>
      <c r="J38" s="4"/>
    </row>
    <row r="39" spans="1:10" x14ac:dyDescent="0.2">
      <c r="C39" s="8"/>
      <c r="D39" s="8"/>
      <c r="E39" s="8"/>
      <c r="F39" s="8"/>
      <c r="G39" s="8"/>
      <c r="H39" s="8"/>
      <c r="I39" s="8"/>
      <c r="J39" s="8"/>
    </row>
    <row r="40" spans="1:10" x14ac:dyDescent="0.2">
      <c r="A40" s="3" t="s">
        <v>12</v>
      </c>
    </row>
    <row r="41" spans="1:10" x14ac:dyDescent="0.2">
      <c r="A41" s="3" t="s">
        <v>15</v>
      </c>
      <c r="B41" s="4">
        <v>750</v>
      </c>
    </row>
    <row r="42" spans="1:10" x14ac:dyDescent="0.2">
      <c r="A42" s="3" t="s">
        <v>8</v>
      </c>
      <c r="B42" s="4">
        <f>-B41</f>
        <v>-750</v>
      </c>
      <c r="C42" s="4">
        <v>700</v>
      </c>
      <c r="D42" s="4">
        <v>400</v>
      </c>
      <c r="E42" s="4"/>
      <c r="F42" s="4"/>
      <c r="G42" s="4"/>
      <c r="H42" s="4"/>
      <c r="I42" s="4"/>
      <c r="J42" s="4"/>
    </row>
    <row r="43" spans="1:10" x14ac:dyDescent="0.2">
      <c r="A43" s="3" t="s">
        <v>6</v>
      </c>
      <c r="B43" s="4">
        <f>+B42</f>
        <v>-750</v>
      </c>
      <c r="C43" s="4">
        <f>+B43+C42</f>
        <v>-50</v>
      </c>
      <c r="D43" s="4">
        <f t="shared" ref="D43" si="45">+C43+D42</f>
        <v>350</v>
      </c>
      <c r="E43" s="4">
        <f t="shared" ref="E43" si="46">+D43+E42</f>
        <v>350</v>
      </c>
      <c r="F43" s="4">
        <f t="shared" ref="F43" si="47">+E43+F42</f>
        <v>350</v>
      </c>
      <c r="G43" s="4">
        <f t="shared" ref="G43" si="48">+F43+G42</f>
        <v>350</v>
      </c>
      <c r="H43" s="4">
        <f t="shared" ref="H43" si="49">+G43+H42</f>
        <v>350</v>
      </c>
      <c r="I43" s="4">
        <f t="shared" ref="I43" si="50">+H43+I42</f>
        <v>350</v>
      </c>
      <c r="J43" s="4">
        <f t="shared" ref="J43" si="51">+I43+J42</f>
        <v>350</v>
      </c>
    </row>
    <row r="44" spans="1:10" x14ac:dyDescent="0.2">
      <c r="A44" s="3" t="s">
        <v>7</v>
      </c>
      <c r="B44" s="4"/>
      <c r="C44" s="7" t="str">
        <f>IF(C43&lt;0,"n/a",ABS(B43/C42))</f>
        <v>n/a</v>
      </c>
      <c r="D44" s="7">
        <f t="shared" ref="D44" si="52">IF(D43&lt;0,"n/a",ABS(C43/D42))</f>
        <v>0.125</v>
      </c>
      <c r="E44" s="7" t="e">
        <f t="shared" ref="E44" si="53">IF(E43&lt;0,"n/a",ABS(D43/E42))</f>
        <v>#DIV/0!</v>
      </c>
      <c r="F44" s="7" t="e">
        <f t="shared" ref="F44" si="54">IF(F43&lt;0,"n/a",ABS(E43/F42))</f>
        <v>#DIV/0!</v>
      </c>
      <c r="G44" s="7" t="e">
        <f t="shared" ref="G44" si="55">IF(G43&lt;0,"n/a",ABS(F43/G42))</f>
        <v>#DIV/0!</v>
      </c>
      <c r="H44" s="7" t="e">
        <f t="shared" ref="H44" si="56">IF(H43&lt;0,"n/a",ABS(G43/H42))</f>
        <v>#DIV/0!</v>
      </c>
      <c r="I44" s="7" t="e">
        <f t="shared" ref="I44" si="57">IF(I43&lt;0,"n/a",ABS(H43/I42))</f>
        <v>#DIV/0!</v>
      </c>
      <c r="J44" s="7" t="e">
        <f t="shared" ref="J44" si="58">IF(J43&lt;0,"n/a",ABS(I43/J42))</f>
        <v>#DIV/0!</v>
      </c>
    </row>
    <row r="45" spans="1:10" x14ac:dyDescent="0.2">
      <c r="A45" s="3" t="s">
        <v>2</v>
      </c>
      <c r="B45" s="4">
        <f>NPV(0.13,C42:J42)+B42</f>
        <v>182.72769989819096</v>
      </c>
      <c r="C45" s="4"/>
      <c r="D45" s="5"/>
      <c r="E45" s="5"/>
      <c r="F45" s="5"/>
      <c r="G45" s="5"/>
      <c r="H45" s="5"/>
      <c r="I45" s="5"/>
      <c r="J45" s="5"/>
    </row>
    <row r="46" spans="1:10" x14ac:dyDescent="0.2">
      <c r="A46" s="3" t="s">
        <v>3</v>
      </c>
      <c r="B46" s="1">
        <f>IRR(B42:J42)</f>
        <v>0.33333333333333326</v>
      </c>
      <c r="C46" s="4"/>
      <c r="D46" s="4"/>
      <c r="E46" s="4"/>
      <c r="F46" s="4"/>
      <c r="G46" s="4"/>
      <c r="H46" s="4"/>
      <c r="I46" s="4"/>
      <c r="J46" s="4"/>
    </row>
    <row r="47" spans="1:10" x14ac:dyDescent="0.2">
      <c r="A47" s="3" t="s">
        <v>4</v>
      </c>
      <c r="B47" s="6">
        <f>COUNTIF(C43:K43,"&lt;0")+INDEX(C44:K44,,COUNTIF(C43:K43,"&lt;0")+1)</f>
        <v>1.125</v>
      </c>
      <c r="C47" s="4"/>
      <c r="D47" s="4"/>
      <c r="E47" s="4"/>
      <c r="F47" s="4"/>
      <c r="G47" s="4"/>
      <c r="H47" s="4"/>
      <c r="I47" s="4"/>
      <c r="J47" s="4"/>
    </row>
    <row r="48" spans="1:10" x14ac:dyDescent="0.2">
      <c r="C48" s="8"/>
      <c r="D48" s="8"/>
      <c r="E48" s="8"/>
      <c r="F48" s="8"/>
      <c r="G48" s="8"/>
      <c r="H48" s="8"/>
      <c r="I48" s="8"/>
      <c r="J48" s="8"/>
    </row>
    <row r="49" spans="1:10" x14ac:dyDescent="0.2">
      <c r="A49" s="3" t="s">
        <v>13</v>
      </c>
    </row>
    <row r="50" spans="1:10" x14ac:dyDescent="0.2">
      <c r="A50" s="3" t="s">
        <v>15</v>
      </c>
      <c r="B50" s="4">
        <v>1000</v>
      </c>
    </row>
    <row r="51" spans="1:10" x14ac:dyDescent="0.2">
      <c r="A51" s="3" t="s">
        <v>8</v>
      </c>
      <c r="B51" s="4">
        <f>-B50</f>
        <v>-1000</v>
      </c>
      <c r="C51" s="4">
        <v>100</v>
      </c>
      <c r="D51" s="4">
        <v>400</v>
      </c>
      <c r="E51" s="4">
        <v>200</v>
      </c>
      <c r="F51" s="4">
        <v>700</v>
      </c>
      <c r="G51" s="4">
        <v>400</v>
      </c>
      <c r="H51" s="4">
        <v>400</v>
      </c>
      <c r="I51" s="4"/>
      <c r="J51" s="4"/>
    </row>
    <row r="52" spans="1:10" x14ac:dyDescent="0.2">
      <c r="A52" s="3" t="s">
        <v>6</v>
      </c>
      <c r="B52" s="4">
        <f>+B51</f>
        <v>-1000</v>
      </c>
      <c r="C52" s="4">
        <f>+B52+C51</f>
        <v>-900</v>
      </c>
      <c r="D52" s="4">
        <f t="shared" ref="D52" si="59">+C52+D51</f>
        <v>-500</v>
      </c>
      <c r="E52" s="4">
        <f t="shared" ref="E52" si="60">+D52+E51</f>
        <v>-300</v>
      </c>
      <c r="F52" s="4">
        <f t="shared" ref="F52" si="61">+E52+F51</f>
        <v>400</v>
      </c>
      <c r="G52" s="4">
        <f t="shared" ref="G52" si="62">+F52+G51</f>
        <v>800</v>
      </c>
      <c r="H52" s="4">
        <f t="shared" ref="H52" si="63">+G52+H51</f>
        <v>1200</v>
      </c>
      <c r="I52" s="4">
        <f t="shared" ref="I52" si="64">+H52+I51</f>
        <v>1200</v>
      </c>
      <c r="J52" s="4">
        <f t="shared" ref="J52" si="65">+I52+J51</f>
        <v>1200</v>
      </c>
    </row>
    <row r="53" spans="1:10" x14ac:dyDescent="0.2">
      <c r="A53" s="3" t="s">
        <v>7</v>
      </c>
      <c r="B53" s="4"/>
      <c r="C53" s="7" t="str">
        <f>IF(C52&lt;0,"n/a",ABS(B52/C51))</f>
        <v>n/a</v>
      </c>
      <c r="D53" s="7" t="str">
        <f t="shared" ref="D53" si="66">IF(D52&lt;0,"n/a",ABS(C52/D51))</f>
        <v>n/a</v>
      </c>
      <c r="E53" s="7" t="str">
        <f t="shared" ref="E53" si="67">IF(E52&lt;0,"n/a",ABS(D52/E51))</f>
        <v>n/a</v>
      </c>
      <c r="F53" s="7">
        <f t="shared" ref="F53" si="68">IF(F52&lt;0,"n/a",ABS(E52/F51))</f>
        <v>0.42857142857142855</v>
      </c>
      <c r="G53" s="7">
        <f t="shared" ref="G53" si="69">IF(G52&lt;0,"n/a",ABS(F52/G51))</f>
        <v>1</v>
      </c>
      <c r="H53" s="7">
        <f t="shared" ref="H53" si="70">IF(H52&lt;0,"n/a",ABS(G52/H51))</f>
        <v>2</v>
      </c>
      <c r="I53" s="7" t="e">
        <f t="shared" ref="I53" si="71">IF(I52&lt;0,"n/a",ABS(H52/I51))</f>
        <v>#DIV/0!</v>
      </c>
      <c r="J53" s="7" t="e">
        <f t="shared" ref="J53" si="72">IF(J52&lt;0,"n/a",ABS(I52/J51))</f>
        <v>#DIV/0!</v>
      </c>
    </row>
    <row r="54" spans="1:10" x14ac:dyDescent="0.2">
      <c r="A54" s="3" t="s">
        <v>2</v>
      </c>
      <c r="B54" s="4">
        <f>NPV(0.13,C51:J51)+B51</f>
        <v>378.91877577489595</v>
      </c>
      <c r="C54" s="4"/>
      <c r="D54" s="5"/>
      <c r="E54" s="5"/>
      <c r="F54" s="5"/>
      <c r="G54" s="5"/>
      <c r="H54" s="5"/>
      <c r="I54" s="5"/>
      <c r="J54" s="5"/>
    </row>
    <row r="55" spans="1:10" x14ac:dyDescent="0.2">
      <c r="A55" s="3" t="s">
        <v>3</v>
      </c>
      <c r="B55" s="1">
        <f>IRR(B51:J51)</f>
        <v>0.23580323433516304</v>
      </c>
      <c r="C55" s="4"/>
      <c r="D55" s="4"/>
      <c r="E55" s="4"/>
      <c r="F55" s="4"/>
      <c r="G55" s="4"/>
      <c r="H55" s="4"/>
      <c r="I55" s="4"/>
      <c r="J55" s="4"/>
    </row>
    <row r="56" spans="1:10" x14ac:dyDescent="0.2">
      <c r="A56" s="3" t="s">
        <v>4</v>
      </c>
      <c r="B56" s="6">
        <f>COUNTIF(C52:K52,"&lt;0")+INDEX(C53:K53,,COUNTIF(C52:K52,"&lt;0")+1)</f>
        <v>3.4285714285714284</v>
      </c>
      <c r="C56" s="4"/>
      <c r="D56" s="4"/>
      <c r="E56" s="4"/>
      <c r="F56" s="4"/>
      <c r="G56" s="4"/>
      <c r="H56" s="4"/>
      <c r="I56" s="4"/>
      <c r="J56" s="4"/>
    </row>
    <row r="57" spans="1:10" x14ac:dyDescent="0.2">
      <c r="C57" s="8"/>
      <c r="D57" s="8"/>
      <c r="E57" s="8"/>
      <c r="F57" s="8"/>
      <c r="G57" s="8"/>
      <c r="H57" s="8"/>
      <c r="I57" s="8"/>
      <c r="J57" s="8"/>
    </row>
    <row r="58" spans="1:10" x14ac:dyDescent="0.2">
      <c r="A58" s="3" t="s">
        <v>14</v>
      </c>
    </row>
    <row r="59" spans="1:10" x14ac:dyDescent="0.2">
      <c r="A59" s="3" t="s">
        <v>15</v>
      </c>
      <c r="B59" s="4">
        <f t="shared" ref="B59:J60" si="73">+B5+B14+B23+B32+B41+B50</f>
        <v>8500</v>
      </c>
    </row>
    <row r="60" spans="1:10" x14ac:dyDescent="0.2">
      <c r="A60" s="3" t="s">
        <v>8</v>
      </c>
      <c r="B60" s="4">
        <f t="shared" si="73"/>
        <v>-8500</v>
      </c>
      <c r="C60" s="4">
        <f t="shared" si="73"/>
        <v>2300</v>
      </c>
      <c r="D60" s="4">
        <f t="shared" si="73"/>
        <v>2700</v>
      </c>
      <c r="E60" s="4">
        <f t="shared" si="73"/>
        <v>2200</v>
      </c>
      <c r="F60" s="4">
        <f t="shared" si="73"/>
        <v>2800</v>
      </c>
      <c r="G60" s="4">
        <f t="shared" si="73"/>
        <v>2900</v>
      </c>
      <c r="H60" s="4">
        <f t="shared" si="73"/>
        <v>2800</v>
      </c>
      <c r="I60" s="4">
        <f t="shared" si="73"/>
        <v>2100</v>
      </c>
      <c r="J60" s="4">
        <f t="shared" si="73"/>
        <v>2100</v>
      </c>
    </row>
    <row r="61" spans="1:10" x14ac:dyDescent="0.2">
      <c r="A61" s="3" t="s">
        <v>6</v>
      </c>
      <c r="B61" s="4">
        <f>+B60</f>
        <v>-8500</v>
      </c>
      <c r="C61" s="4">
        <f>+B61+C60</f>
        <v>-6200</v>
      </c>
      <c r="D61" s="4">
        <f t="shared" ref="D61" si="74">+C61+D60</f>
        <v>-3500</v>
      </c>
      <c r="E61" s="4">
        <f t="shared" ref="E61" si="75">+D61+E60</f>
        <v>-1300</v>
      </c>
      <c r="F61" s="4">
        <f t="shared" ref="F61" si="76">+E61+F60</f>
        <v>1500</v>
      </c>
      <c r="G61" s="4">
        <f t="shared" ref="G61" si="77">+F61+G60</f>
        <v>4400</v>
      </c>
      <c r="H61" s="4">
        <f t="shared" ref="H61" si="78">+G61+H60</f>
        <v>7200</v>
      </c>
      <c r="I61" s="4">
        <f t="shared" ref="I61" si="79">+H61+I60</f>
        <v>9300</v>
      </c>
      <c r="J61" s="4">
        <f t="shared" ref="J61" si="80">+I61+J60</f>
        <v>11400</v>
      </c>
    </row>
    <row r="62" spans="1:10" x14ac:dyDescent="0.2">
      <c r="A62" s="3" t="s">
        <v>7</v>
      </c>
      <c r="B62" s="4"/>
      <c r="C62" s="7" t="str">
        <f>IF(C61&lt;0,"n/a",ABS(B61/C60))</f>
        <v>n/a</v>
      </c>
      <c r="D62" s="7" t="str">
        <f t="shared" ref="D62" si="81">IF(D61&lt;0,"n/a",ABS(C61/D60))</f>
        <v>n/a</v>
      </c>
      <c r="E62" s="7" t="str">
        <f t="shared" ref="E62" si="82">IF(E61&lt;0,"n/a",ABS(D61/E60))</f>
        <v>n/a</v>
      </c>
      <c r="F62" s="7">
        <f t="shared" ref="F62" si="83">IF(F61&lt;0,"n/a",ABS(E61/F60))</f>
        <v>0.4642857142857143</v>
      </c>
      <c r="G62" s="7">
        <f t="shared" ref="G62" si="84">IF(G61&lt;0,"n/a",ABS(F61/G60))</f>
        <v>0.51724137931034486</v>
      </c>
      <c r="H62" s="7">
        <f t="shared" ref="H62" si="85">IF(H61&lt;0,"n/a",ABS(G61/H60))</f>
        <v>1.5714285714285714</v>
      </c>
      <c r="I62" s="7">
        <f t="shared" ref="I62" si="86">IF(I61&lt;0,"n/a",ABS(H61/I60))</f>
        <v>3.4285714285714284</v>
      </c>
      <c r="J62" s="7">
        <f t="shared" ref="J62" si="87">IF(J61&lt;0,"n/a",ABS(I61/J60))</f>
        <v>4.4285714285714288</v>
      </c>
    </row>
    <row r="63" spans="1:10" x14ac:dyDescent="0.2">
      <c r="A63" s="3" t="s">
        <v>2</v>
      </c>
      <c r="B63" s="4">
        <f>NPV(0.13,C60:J60)+B60</f>
        <v>3493.3558224057469</v>
      </c>
      <c r="C63" s="4"/>
      <c r="D63" s="5"/>
      <c r="E63" s="5"/>
      <c r="F63" s="5"/>
      <c r="G63" s="5"/>
      <c r="H63" s="5"/>
      <c r="I63" s="5"/>
      <c r="J63" s="5"/>
    </row>
    <row r="64" spans="1:10" x14ac:dyDescent="0.2">
      <c r="A64" s="3" t="s">
        <v>3</v>
      </c>
      <c r="B64" s="1">
        <f>IRR(B60:J60)</f>
        <v>0.24212133100308364</v>
      </c>
      <c r="C64" s="4"/>
      <c r="D64" s="4"/>
      <c r="E64" s="4"/>
      <c r="F64" s="4"/>
      <c r="G64" s="4"/>
      <c r="H64" s="4"/>
      <c r="I64" s="4"/>
      <c r="J64" s="4"/>
    </row>
    <row r="65" spans="1:10" x14ac:dyDescent="0.2">
      <c r="A65" s="3" t="s">
        <v>4</v>
      </c>
      <c r="B65" s="6">
        <f>COUNTIF(C61:K61,"&lt;0")+INDEX(C62:K62,,COUNTIF(C61:K61,"&lt;0")+1)</f>
        <v>3.4642857142857144</v>
      </c>
      <c r="C65" s="4"/>
      <c r="D65" s="4"/>
      <c r="E65" s="4"/>
      <c r="F65" s="4"/>
      <c r="G65" s="4"/>
      <c r="H65" s="4"/>
      <c r="I65" s="4"/>
      <c r="J65" s="4"/>
    </row>
    <row r="66" spans="1:10" x14ac:dyDescent="0.2">
      <c r="C66" s="8"/>
      <c r="D66" s="8"/>
      <c r="E66" s="8"/>
      <c r="F66" s="8"/>
      <c r="G66" s="8"/>
      <c r="H66" s="8"/>
      <c r="I66" s="8"/>
      <c r="J66" s="8"/>
    </row>
    <row r="67" spans="1:10" x14ac:dyDescent="0.2">
      <c r="C67" s="8"/>
      <c r="D67" s="8"/>
      <c r="E67" s="8"/>
      <c r="F67" s="8"/>
      <c r="G67" s="8"/>
      <c r="H67" s="8"/>
      <c r="I67" s="8"/>
      <c r="J67" s="8"/>
    </row>
    <row r="68" spans="1:10" x14ac:dyDescent="0.2">
      <c r="C68" s="8"/>
      <c r="D68" s="8"/>
      <c r="E68" s="8"/>
      <c r="F68" s="8"/>
      <c r="G68" s="8"/>
      <c r="H68" s="8"/>
      <c r="I68" s="8"/>
      <c r="J68" s="8"/>
    </row>
    <row r="69" spans="1:10" x14ac:dyDescent="0.2">
      <c r="C69" s="8"/>
      <c r="D69" s="8"/>
      <c r="E69" s="8"/>
      <c r="F69" s="8"/>
      <c r="G69" s="8"/>
      <c r="H69" s="8"/>
      <c r="I69" s="8"/>
      <c r="J69" s="8"/>
    </row>
    <row r="70" spans="1:10" x14ac:dyDescent="0.2">
      <c r="C70" s="8"/>
      <c r="D70" s="8"/>
      <c r="E70" s="8"/>
      <c r="F70" s="8"/>
      <c r="G70" s="8"/>
      <c r="H70" s="8"/>
      <c r="I70" s="8"/>
      <c r="J70" s="8"/>
    </row>
    <row r="71" spans="1:10" x14ac:dyDescent="0.2">
      <c r="C71" s="8"/>
      <c r="D71" s="8"/>
      <c r="E71" s="8"/>
      <c r="F71" s="8"/>
      <c r="G71" s="8"/>
      <c r="H71" s="8"/>
      <c r="I71" s="8"/>
      <c r="J71" s="8"/>
    </row>
    <row r="72" spans="1:10" x14ac:dyDescent="0.2">
      <c r="C72" s="8"/>
      <c r="D72" s="8"/>
      <c r="E72" s="8"/>
      <c r="F72" s="8"/>
      <c r="G72" s="8"/>
      <c r="H72" s="8"/>
      <c r="I72" s="8"/>
      <c r="J72" s="8"/>
    </row>
    <row r="73" spans="1:10" x14ac:dyDescent="0.2">
      <c r="C73" s="8"/>
      <c r="D73" s="8"/>
      <c r="E73" s="8"/>
      <c r="F73" s="8"/>
      <c r="G73" s="8"/>
      <c r="H73" s="8"/>
      <c r="I73" s="8"/>
      <c r="J73" s="8"/>
    </row>
    <row r="74" spans="1:10" x14ac:dyDescent="0.2">
      <c r="C74" s="8"/>
      <c r="D74" s="8"/>
      <c r="E74" s="8"/>
      <c r="F74" s="8"/>
      <c r="G74" s="8"/>
      <c r="H74" s="8"/>
      <c r="I74" s="8"/>
      <c r="J74" s="8"/>
    </row>
    <row r="75" spans="1:10" x14ac:dyDescent="0.2">
      <c r="C75" s="8"/>
      <c r="D75" s="8"/>
      <c r="E75" s="8"/>
      <c r="F75" s="8"/>
      <c r="G75" s="8"/>
      <c r="H75" s="8"/>
      <c r="I75" s="8"/>
      <c r="J75" s="8"/>
    </row>
    <row r="76" spans="1:10" x14ac:dyDescent="0.2">
      <c r="C76" s="8"/>
      <c r="D76" s="8"/>
      <c r="E76" s="8"/>
      <c r="F76" s="8"/>
      <c r="G76" s="8"/>
      <c r="H76" s="8"/>
      <c r="I76" s="8"/>
      <c r="J76" s="8"/>
    </row>
    <row r="77" spans="1:10" x14ac:dyDescent="0.2">
      <c r="C77" s="8"/>
      <c r="D77" s="8"/>
      <c r="E77" s="8"/>
      <c r="F77" s="8"/>
      <c r="G77" s="8"/>
      <c r="H77" s="8"/>
      <c r="I77" s="8"/>
      <c r="J77" s="8"/>
    </row>
    <row r="78" spans="1:10" x14ac:dyDescent="0.2">
      <c r="C78" s="8"/>
      <c r="D78" s="8"/>
      <c r="E78" s="8"/>
      <c r="F78" s="8"/>
      <c r="G78" s="8"/>
      <c r="H78" s="8"/>
      <c r="I78" s="8"/>
      <c r="J78" s="8"/>
    </row>
    <row r="79" spans="1:10" x14ac:dyDescent="0.2">
      <c r="C79" s="8"/>
      <c r="D79" s="8"/>
      <c r="E79" s="8"/>
      <c r="F79" s="8"/>
      <c r="G79" s="8"/>
      <c r="H79" s="8"/>
      <c r="I79" s="8"/>
      <c r="J79" s="8"/>
    </row>
    <row r="80" spans="1:10" x14ac:dyDescent="0.2">
      <c r="C80" s="8"/>
      <c r="D80" s="8"/>
      <c r="E80" s="8"/>
      <c r="F80" s="8"/>
      <c r="G80" s="8"/>
      <c r="H80" s="8"/>
      <c r="I80" s="8"/>
      <c r="J80" s="8"/>
    </row>
    <row r="81" spans="3:10" x14ac:dyDescent="0.2">
      <c r="C81" s="8"/>
      <c r="D81" s="8"/>
      <c r="E81" s="8"/>
      <c r="F81" s="8"/>
      <c r="G81" s="8"/>
      <c r="H81" s="8"/>
      <c r="I81" s="8"/>
      <c r="J81" s="8"/>
    </row>
    <row r="82" spans="3:10" x14ac:dyDescent="0.2">
      <c r="C82" s="8"/>
      <c r="D82" s="8"/>
      <c r="E82" s="8"/>
      <c r="F82" s="8"/>
      <c r="G82" s="8"/>
      <c r="H82" s="8"/>
      <c r="I82" s="8"/>
      <c r="J82" s="8"/>
    </row>
    <row r="83" spans="3:10" x14ac:dyDescent="0.2">
      <c r="C83" s="8"/>
      <c r="D83" s="8"/>
      <c r="E83" s="8"/>
      <c r="F83" s="8"/>
      <c r="G83" s="8"/>
      <c r="H83" s="8"/>
      <c r="I83" s="8"/>
      <c r="J83" s="8"/>
    </row>
    <row r="84" spans="3:10" x14ac:dyDescent="0.2">
      <c r="C84" s="8"/>
      <c r="D84" s="8"/>
      <c r="E84" s="8"/>
      <c r="F84" s="8"/>
      <c r="G84" s="8"/>
      <c r="H84" s="8"/>
      <c r="I84" s="8"/>
      <c r="J84" s="8"/>
    </row>
    <row r="85" spans="3:10" x14ac:dyDescent="0.2">
      <c r="C85" s="8"/>
      <c r="D85" s="8"/>
      <c r="E85" s="8"/>
      <c r="F85" s="8"/>
      <c r="G85" s="8"/>
      <c r="H85" s="8"/>
      <c r="I85" s="8"/>
      <c r="J85" s="8"/>
    </row>
    <row r="86" spans="3:10" x14ac:dyDescent="0.2">
      <c r="C86" s="8"/>
      <c r="D86" s="8"/>
      <c r="E86" s="8"/>
      <c r="F86" s="8"/>
      <c r="G86" s="8"/>
      <c r="H86" s="8"/>
      <c r="I86" s="8"/>
      <c r="J86" s="8"/>
    </row>
    <row r="87" spans="3:10" x14ac:dyDescent="0.2">
      <c r="C87" s="8"/>
      <c r="D87" s="8"/>
      <c r="E87" s="8"/>
      <c r="F87" s="8"/>
      <c r="G87" s="8"/>
      <c r="H87" s="8"/>
      <c r="I87" s="8"/>
      <c r="J87" s="8"/>
    </row>
    <row r="88" spans="3:10" x14ac:dyDescent="0.2">
      <c r="C88" s="8"/>
      <c r="D88" s="8"/>
      <c r="E88" s="8"/>
      <c r="F88" s="8"/>
      <c r="G88" s="8"/>
      <c r="H88" s="8"/>
      <c r="I88" s="8"/>
      <c r="J88" s="8"/>
    </row>
    <row r="89" spans="3:10" x14ac:dyDescent="0.2">
      <c r="C89" s="8"/>
      <c r="D89" s="8"/>
      <c r="E89" s="8"/>
      <c r="F89" s="8"/>
      <c r="G89" s="8"/>
      <c r="H89" s="8"/>
      <c r="I89" s="8"/>
      <c r="J89" s="8"/>
    </row>
    <row r="90" spans="3:10" x14ac:dyDescent="0.2">
      <c r="C90" s="8"/>
      <c r="D90" s="8"/>
      <c r="E90" s="8"/>
      <c r="F90" s="8"/>
      <c r="G90" s="8"/>
      <c r="H90" s="8"/>
      <c r="I90" s="8"/>
      <c r="J90" s="8"/>
    </row>
    <row r="91" spans="3:10" x14ac:dyDescent="0.2">
      <c r="C91" s="8"/>
      <c r="D91" s="8"/>
      <c r="E91" s="8"/>
      <c r="F91" s="8"/>
      <c r="G91" s="8"/>
      <c r="H91" s="8"/>
      <c r="I91" s="8"/>
      <c r="J91" s="8"/>
    </row>
    <row r="92" spans="3:10" x14ac:dyDescent="0.2">
      <c r="C92" s="8"/>
      <c r="D92" s="8"/>
      <c r="E92" s="8"/>
      <c r="F92" s="8"/>
      <c r="G92" s="8"/>
      <c r="H92" s="8"/>
      <c r="I92" s="8"/>
      <c r="J92" s="8"/>
    </row>
    <row r="93" spans="3:10" x14ac:dyDescent="0.2">
      <c r="C93" s="8"/>
      <c r="D93" s="8"/>
      <c r="E93" s="8"/>
      <c r="F93" s="8"/>
      <c r="G93" s="8"/>
      <c r="H93" s="8"/>
      <c r="I93" s="8"/>
      <c r="J93" s="8"/>
    </row>
    <row r="94" spans="3:10" x14ac:dyDescent="0.2">
      <c r="C94" s="8"/>
      <c r="D94" s="8"/>
      <c r="E94" s="8"/>
      <c r="F94" s="8"/>
      <c r="G94" s="8"/>
      <c r="H94" s="8"/>
      <c r="I94" s="8"/>
      <c r="J94" s="8"/>
    </row>
    <row r="95" spans="3:10" x14ac:dyDescent="0.2">
      <c r="C95" s="8"/>
      <c r="D95" s="8"/>
      <c r="E95" s="8"/>
      <c r="F95" s="8"/>
      <c r="G95" s="8"/>
      <c r="H95" s="8"/>
      <c r="I95" s="8"/>
      <c r="J95" s="8"/>
    </row>
    <row r="96" spans="3:10" x14ac:dyDescent="0.2">
      <c r="C96" s="8"/>
      <c r="D96" s="8"/>
      <c r="E96" s="8"/>
      <c r="F96" s="8"/>
      <c r="G96" s="8"/>
      <c r="H96" s="8"/>
      <c r="I96" s="8"/>
      <c r="J96" s="8"/>
    </row>
  </sheetData>
  <pageMargins left="0.43307086614173229" right="0.43307086614173229" top="0.74803149606299213" bottom="0.51181102362204722" header="0.31496062992125984" footer="0.31496062992125984"/>
  <pageSetup scale="90" fitToHeight="0" orientation="landscape" horizontalDpi="4294967293" verticalDpi="4294967293" r:id="rId1"/>
  <headerFooter>
    <oddHeader>&amp;C&amp;16&amp;UMKM704 - Finance for Marketers - Lab 4 Solution</oddHeader>
    <oddFooter>&amp;LMKM704 - DR&amp;CPage &amp;P of &amp;N&amp;R&amp;D @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A31F-4A87-48AF-A309-8F80965EB50C}">
  <sheetPr>
    <pageSetUpPr fitToPage="1"/>
  </sheetPr>
  <dimension ref="A1:P74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73" sqref="D73"/>
    </sheetView>
  </sheetViews>
  <sheetFormatPr baseColWidth="10" defaultColWidth="8.83203125" defaultRowHeight="16" x14ac:dyDescent="0.2"/>
  <cols>
    <col min="1" max="1" width="12.83203125" style="3" customWidth="1"/>
    <col min="2" max="2" width="36.83203125" style="3" customWidth="1"/>
    <col min="3" max="3" width="11.83203125" style="3" bestFit="1" customWidth="1"/>
    <col min="4" max="12" width="11.5" style="10" bestFit="1" customWidth="1"/>
    <col min="13" max="13" width="2.5" style="2" customWidth="1"/>
    <col min="14" max="14" width="8.83203125" style="2"/>
    <col min="15" max="15" width="11.83203125" style="2" bestFit="1" customWidth="1"/>
    <col min="16" max="16" width="11.1640625" style="2" bestFit="1" customWidth="1"/>
    <col min="17" max="17" width="11.83203125" style="2" bestFit="1" customWidth="1"/>
    <col min="18" max="16384" width="8.83203125" style="2"/>
  </cols>
  <sheetData>
    <row r="1" spans="1:16" s="24" customFormat="1" x14ac:dyDescent="0.2">
      <c r="A1" s="23" t="s">
        <v>0</v>
      </c>
      <c r="B1" s="23"/>
      <c r="C1" s="24">
        <v>0</v>
      </c>
      <c r="D1" s="24">
        <v>1</v>
      </c>
      <c r="E1" s="24">
        <f>+D1+1</f>
        <v>2</v>
      </c>
      <c r="F1" s="24">
        <f>+E1+1</f>
        <v>3</v>
      </c>
      <c r="G1" s="24">
        <f>+F1+1</f>
        <v>4</v>
      </c>
      <c r="H1" s="24">
        <f>+G1+1</f>
        <v>5</v>
      </c>
      <c r="I1" s="24">
        <f t="shared" ref="I1:K1" si="0">+H1+1</f>
        <v>6</v>
      </c>
      <c r="J1" s="24">
        <f t="shared" si="0"/>
        <v>7</v>
      </c>
      <c r="K1" s="24">
        <f t="shared" si="0"/>
        <v>8</v>
      </c>
    </row>
    <row r="2" spans="1:16" s="27" customFormat="1" x14ac:dyDescent="0.2">
      <c r="A2" s="25" t="s">
        <v>24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6" x14ac:dyDescent="0.2">
      <c r="A3" s="25" t="s">
        <v>21</v>
      </c>
      <c r="B3" s="15">
        <v>0.15</v>
      </c>
      <c r="C3" s="10"/>
    </row>
    <row r="4" spans="1:16" x14ac:dyDescent="0.2">
      <c r="C4" s="10"/>
    </row>
    <row r="5" spans="1:16" x14ac:dyDescent="0.2">
      <c r="A5" s="25" t="s">
        <v>5</v>
      </c>
      <c r="C5" s="10"/>
    </row>
    <row r="6" spans="1:16" s="12" customFormat="1" x14ac:dyDescent="0.2">
      <c r="A6" s="28">
        <v>1</v>
      </c>
      <c r="B6" s="11"/>
    </row>
    <row r="7" spans="1:16" s="12" customFormat="1" x14ac:dyDescent="0.2">
      <c r="A7" s="29">
        <v>0.7</v>
      </c>
      <c r="B7" s="11" t="s">
        <v>18</v>
      </c>
      <c r="C7" s="11"/>
      <c r="D7" s="12">
        <v>800</v>
      </c>
      <c r="E7" s="12">
        <v>1000</v>
      </c>
      <c r="F7" s="12">
        <v>1500</v>
      </c>
      <c r="G7" s="12">
        <v>2000</v>
      </c>
      <c r="H7" s="12">
        <v>2000</v>
      </c>
      <c r="I7" s="12">
        <v>2500</v>
      </c>
      <c r="J7" s="12">
        <v>3000</v>
      </c>
    </row>
    <row r="8" spans="1:16" s="12" customFormat="1" x14ac:dyDescent="0.2">
      <c r="A8" s="14">
        <v>0.3</v>
      </c>
      <c r="B8" s="11" t="s">
        <v>19</v>
      </c>
      <c r="C8" s="11"/>
      <c r="D8" s="16">
        <f>D7*$A$8</f>
        <v>240</v>
      </c>
      <c r="E8" s="16">
        <f t="shared" ref="E8:J8" si="1">E7*$A$8</f>
        <v>300</v>
      </c>
      <c r="F8" s="16">
        <f t="shared" si="1"/>
        <v>450</v>
      </c>
      <c r="G8" s="16">
        <f t="shared" si="1"/>
        <v>600</v>
      </c>
      <c r="H8" s="16">
        <f t="shared" si="1"/>
        <v>600</v>
      </c>
      <c r="I8" s="16">
        <f t="shared" si="1"/>
        <v>750</v>
      </c>
      <c r="J8" s="16">
        <f t="shared" si="1"/>
        <v>900</v>
      </c>
    </row>
    <row r="9" spans="1:16" s="12" customFormat="1" x14ac:dyDescent="0.2">
      <c r="A9" s="11"/>
      <c r="B9" s="11" t="s">
        <v>20</v>
      </c>
      <c r="C9" s="11"/>
      <c r="D9" s="13">
        <v>100</v>
      </c>
      <c r="E9" s="13">
        <v>100</v>
      </c>
      <c r="F9" s="13">
        <v>100</v>
      </c>
      <c r="G9" s="13">
        <v>100</v>
      </c>
      <c r="H9" s="13">
        <v>100</v>
      </c>
      <c r="I9" s="13">
        <v>100</v>
      </c>
      <c r="J9" s="13">
        <v>100</v>
      </c>
    </row>
    <row r="10" spans="1:16" x14ac:dyDescent="0.2">
      <c r="A10" s="30">
        <f>A6-A7</f>
        <v>0.30000000000000004</v>
      </c>
      <c r="B10" s="3" t="s">
        <v>23</v>
      </c>
      <c r="C10" s="12">
        <v>-1222</v>
      </c>
      <c r="D10" s="12">
        <f>D8-D9</f>
        <v>140</v>
      </c>
      <c r="E10" s="12">
        <f t="shared" ref="E10:J10" si="2">E8-E9</f>
        <v>200</v>
      </c>
      <c r="F10" s="12">
        <f t="shared" si="2"/>
        <v>350</v>
      </c>
      <c r="G10" s="12">
        <f t="shared" si="2"/>
        <v>500</v>
      </c>
      <c r="H10" s="12">
        <f t="shared" si="2"/>
        <v>500</v>
      </c>
      <c r="I10" s="12">
        <f t="shared" si="2"/>
        <v>650</v>
      </c>
      <c r="J10" s="12">
        <f t="shared" si="2"/>
        <v>800</v>
      </c>
      <c r="O10" s="10"/>
      <c r="P10" s="22"/>
    </row>
    <row r="11" spans="1:16" x14ac:dyDescent="0.2">
      <c r="C11" s="31">
        <f>C10</f>
        <v>-1222</v>
      </c>
      <c r="D11" s="10">
        <f>PV($B$3,D1,0,-D10,0)</f>
        <v>121.73913043478262</v>
      </c>
      <c r="E11" s="10">
        <f t="shared" ref="E11:J11" si="3">PV($B$3,E1,0,-E10,0)</f>
        <v>151.2287334593573</v>
      </c>
      <c r="F11" s="10">
        <f t="shared" si="3"/>
        <v>230.13068135119593</v>
      </c>
      <c r="G11" s="10">
        <f t="shared" si="3"/>
        <v>285.8766227965167</v>
      </c>
      <c r="H11" s="10">
        <f t="shared" si="3"/>
        <v>248.58836764914494</v>
      </c>
      <c r="I11" s="10">
        <f t="shared" si="3"/>
        <v>281.01293734251169</v>
      </c>
      <c r="J11" s="10">
        <f t="shared" si="3"/>
        <v>300.74963193847412</v>
      </c>
      <c r="O11" s="10"/>
      <c r="P11" s="22"/>
    </row>
    <row r="12" spans="1:16" x14ac:dyDescent="0.2">
      <c r="B12" s="2" t="s">
        <v>22</v>
      </c>
      <c r="C12" s="17">
        <f>C11</f>
        <v>-1222</v>
      </c>
      <c r="D12" s="16">
        <f>C12+D10</f>
        <v>-1082</v>
      </c>
      <c r="E12" s="16">
        <f t="shared" ref="E12:J12" si="4">D12+E10</f>
        <v>-882</v>
      </c>
      <c r="F12" s="16">
        <f t="shared" si="4"/>
        <v>-532</v>
      </c>
      <c r="G12" s="16">
        <f t="shared" si="4"/>
        <v>-32</v>
      </c>
      <c r="H12" s="16">
        <f t="shared" si="4"/>
        <v>468</v>
      </c>
      <c r="I12" s="16">
        <f t="shared" si="4"/>
        <v>1118</v>
      </c>
      <c r="J12" s="16">
        <f t="shared" si="4"/>
        <v>1918</v>
      </c>
      <c r="O12" s="10"/>
      <c r="P12" s="22"/>
    </row>
    <row r="13" spans="1:16" x14ac:dyDescent="0.2">
      <c r="O13" s="10"/>
      <c r="P13" s="22"/>
    </row>
    <row r="14" spans="1:16" x14ac:dyDescent="0.2">
      <c r="B14" s="3" t="s">
        <v>16</v>
      </c>
      <c r="C14" s="18">
        <f>SUM(C11:J11)</f>
        <v>397.32610497198311</v>
      </c>
      <c r="D14" s="10">
        <f>NPV(B3,D10:J10)+C10</f>
        <v>397.32610497198334</v>
      </c>
      <c r="O14" s="10"/>
      <c r="P14" s="22"/>
    </row>
    <row r="15" spans="1:16" x14ac:dyDescent="0.2">
      <c r="B15" s="3" t="s">
        <v>17</v>
      </c>
      <c r="C15" s="19">
        <f>IRR(C10:J10)</f>
        <v>0.22613703524192341</v>
      </c>
    </row>
    <row r="16" spans="1:16" x14ac:dyDescent="0.2">
      <c r="B16" s="3" t="s">
        <v>4</v>
      </c>
      <c r="C16" s="20">
        <f>-F12/G10+F1</f>
        <v>4.0640000000000001</v>
      </c>
    </row>
    <row r="19" spans="1:11" x14ac:dyDescent="0.2">
      <c r="A19" s="25" t="s">
        <v>9</v>
      </c>
    </row>
    <row r="20" spans="1:11" x14ac:dyDescent="0.2">
      <c r="A20" s="12"/>
      <c r="B20" s="11"/>
    </row>
    <row r="21" spans="1:11" x14ac:dyDescent="0.2">
      <c r="A21" s="11"/>
      <c r="B21" s="11" t="s">
        <v>18</v>
      </c>
      <c r="C21" s="11"/>
      <c r="D21" s="12">
        <v>2000</v>
      </c>
      <c r="E21" s="12">
        <v>3000</v>
      </c>
      <c r="F21" s="12">
        <v>2500</v>
      </c>
      <c r="G21" s="12">
        <v>1500</v>
      </c>
      <c r="H21" s="12">
        <v>1000</v>
      </c>
      <c r="I21" s="12">
        <v>800</v>
      </c>
      <c r="J21" s="12">
        <v>800</v>
      </c>
      <c r="K21" s="12"/>
    </row>
    <row r="22" spans="1:11" x14ac:dyDescent="0.2">
      <c r="A22" s="14">
        <v>0.3</v>
      </c>
      <c r="B22" s="11" t="s">
        <v>19</v>
      </c>
      <c r="C22" s="11"/>
      <c r="D22" s="16">
        <f>D21*$A$22</f>
        <v>600</v>
      </c>
      <c r="E22" s="16">
        <f t="shared" ref="E22:J22" si="5">E21*$A$22</f>
        <v>900</v>
      </c>
      <c r="F22" s="16">
        <f t="shared" si="5"/>
        <v>750</v>
      </c>
      <c r="G22" s="16">
        <f t="shared" si="5"/>
        <v>450</v>
      </c>
      <c r="H22" s="16">
        <f t="shared" si="5"/>
        <v>300</v>
      </c>
      <c r="I22" s="16">
        <f t="shared" si="5"/>
        <v>240</v>
      </c>
      <c r="J22" s="16">
        <f t="shared" si="5"/>
        <v>240</v>
      </c>
      <c r="K22" s="12"/>
    </row>
    <row r="23" spans="1:11" x14ac:dyDescent="0.2">
      <c r="A23" s="11"/>
      <c r="B23" s="11" t="s">
        <v>20</v>
      </c>
      <c r="C23" s="11"/>
      <c r="D23" s="13">
        <v>200</v>
      </c>
      <c r="E23" s="13">
        <v>200</v>
      </c>
      <c r="F23" s="13">
        <v>200</v>
      </c>
      <c r="G23" s="13">
        <v>200</v>
      </c>
      <c r="H23" s="13">
        <v>200</v>
      </c>
      <c r="I23" s="13">
        <v>200</v>
      </c>
      <c r="J23" s="13">
        <v>200</v>
      </c>
      <c r="K23" s="12"/>
    </row>
    <row r="24" spans="1:11" x14ac:dyDescent="0.2">
      <c r="B24" s="3" t="s">
        <v>23</v>
      </c>
      <c r="C24" s="11">
        <v>-1200</v>
      </c>
      <c r="D24" s="12">
        <f>D22-D23</f>
        <v>400</v>
      </c>
      <c r="E24" s="12">
        <f t="shared" ref="E24:J24" si="6">E22-E23</f>
        <v>700</v>
      </c>
      <c r="F24" s="12">
        <f t="shared" si="6"/>
        <v>550</v>
      </c>
      <c r="G24" s="12">
        <f t="shared" si="6"/>
        <v>250</v>
      </c>
      <c r="H24" s="12">
        <f t="shared" si="6"/>
        <v>100</v>
      </c>
      <c r="I24" s="12">
        <f t="shared" si="6"/>
        <v>40</v>
      </c>
      <c r="J24" s="12">
        <f t="shared" si="6"/>
        <v>40</v>
      </c>
      <c r="K24" s="12"/>
    </row>
    <row r="25" spans="1:11" x14ac:dyDescent="0.2">
      <c r="C25" s="11">
        <f>C24</f>
        <v>-1200</v>
      </c>
      <c r="D25" s="12">
        <f>PV($B$3,D1,0,-D24,0)</f>
        <v>347.82608695652175</v>
      </c>
      <c r="E25" s="12">
        <f t="shared" ref="E25:J25" si="7">PV($B$3,E1,0,-E24,0)</f>
        <v>529.30056710775057</v>
      </c>
      <c r="F25" s="12">
        <f t="shared" si="7"/>
        <v>361.6339278375936</v>
      </c>
      <c r="G25" s="12">
        <f t="shared" si="7"/>
        <v>142.93831139825835</v>
      </c>
      <c r="H25" s="12">
        <f t="shared" si="7"/>
        <v>49.717673529828986</v>
      </c>
      <c r="I25" s="12">
        <f t="shared" si="7"/>
        <v>17.293103836462258</v>
      </c>
      <c r="J25" s="12">
        <f t="shared" si="7"/>
        <v>15.037481596923707</v>
      </c>
      <c r="K25" s="12"/>
    </row>
    <row r="26" spans="1:11" x14ac:dyDescent="0.2">
      <c r="B26" s="2" t="s">
        <v>22</v>
      </c>
      <c r="C26" s="17">
        <f>C24</f>
        <v>-1200</v>
      </c>
      <c r="D26" s="16">
        <f>C26+D24</f>
        <v>-800</v>
      </c>
      <c r="E26" s="16">
        <f t="shared" ref="E26:J26" si="8">D26+E24</f>
        <v>-100</v>
      </c>
      <c r="F26" s="16">
        <f t="shared" si="8"/>
        <v>450</v>
      </c>
      <c r="G26" s="16">
        <f t="shared" si="8"/>
        <v>700</v>
      </c>
      <c r="H26" s="16">
        <f t="shared" si="8"/>
        <v>800</v>
      </c>
      <c r="I26" s="16">
        <f t="shared" si="8"/>
        <v>840</v>
      </c>
      <c r="J26" s="16">
        <f t="shared" si="8"/>
        <v>880</v>
      </c>
    </row>
    <row r="28" spans="1:11" x14ac:dyDescent="0.2">
      <c r="B28" s="3" t="s">
        <v>16</v>
      </c>
      <c r="C28" s="18">
        <f>SUM(C25:J25)</f>
        <v>263.74715226333922</v>
      </c>
      <c r="D28" s="10">
        <f>NPV(B3,D24:J24)+C24</f>
        <v>263.7471522633391</v>
      </c>
    </row>
    <row r="29" spans="1:11" x14ac:dyDescent="0.2">
      <c r="B29" s="3" t="s">
        <v>17</v>
      </c>
      <c r="C29" s="19">
        <f>IRR(C24:J24)</f>
        <v>0.25165632263182269</v>
      </c>
    </row>
    <row r="30" spans="1:11" x14ac:dyDescent="0.2">
      <c r="B30" s="3" t="s">
        <v>4</v>
      </c>
      <c r="C30" s="20">
        <f>-F26/G24+F1</f>
        <v>1.2</v>
      </c>
    </row>
    <row r="33" spans="1:10" x14ac:dyDescent="0.2">
      <c r="A33" s="25" t="s">
        <v>10</v>
      </c>
    </row>
    <row r="34" spans="1:10" x14ac:dyDescent="0.2">
      <c r="A34" s="12"/>
      <c r="B34" s="11"/>
    </row>
    <row r="35" spans="1:10" x14ac:dyDescent="0.2">
      <c r="A35" s="11"/>
      <c r="B35" s="11" t="s">
        <v>18</v>
      </c>
      <c r="C35" s="11"/>
      <c r="D35" s="12">
        <v>1000</v>
      </c>
      <c r="E35" s="12">
        <v>1500</v>
      </c>
      <c r="F35" s="12">
        <v>2000</v>
      </c>
      <c r="G35" s="12">
        <v>2500</v>
      </c>
      <c r="H35" s="12">
        <v>3000</v>
      </c>
      <c r="I35" s="12">
        <v>3500</v>
      </c>
      <c r="J35" s="12">
        <v>4000</v>
      </c>
    </row>
    <row r="36" spans="1:10" x14ac:dyDescent="0.2">
      <c r="A36" s="14">
        <v>0.5</v>
      </c>
      <c r="B36" s="11" t="s">
        <v>19</v>
      </c>
      <c r="C36" s="11"/>
      <c r="D36" s="16">
        <f>D35*$A$36</f>
        <v>500</v>
      </c>
      <c r="E36" s="16">
        <f t="shared" ref="E36:J36" si="9">E35*$A$36</f>
        <v>750</v>
      </c>
      <c r="F36" s="16">
        <f t="shared" si="9"/>
        <v>1000</v>
      </c>
      <c r="G36" s="16">
        <f t="shared" si="9"/>
        <v>1250</v>
      </c>
      <c r="H36" s="16">
        <f t="shared" si="9"/>
        <v>1500</v>
      </c>
      <c r="I36" s="16">
        <f t="shared" si="9"/>
        <v>1750</v>
      </c>
      <c r="J36" s="16">
        <f t="shared" si="9"/>
        <v>2000</v>
      </c>
    </row>
    <row r="37" spans="1:10" x14ac:dyDescent="0.2">
      <c r="A37" s="11"/>
      <c r="B37" s="11" t="s">
        <v>20</v>
      </c>
      <c r="C37" s="11"/>
      <c r="D37" s="13">
        <v>300</v>
      </c>
      <c r="E37" s="13">
        <v>300</v>
      </c>
      <c r="F37" s="13">
        <v>300</v>
      </c>
      <c r="G37" s="13">
        <v>300</v>
      </c>
      <c r="H37" s="13"/>
      <c r="I37" s="13"/>
      <c r="J37" s="13"/>
    </row>
    <row r="38" spans="1:10" x14ac:dyDescent="0.2">
      <c r="B38" s="3" t="s">
        <v>23</v>
      </c>
      <c r="C38" s="11">
        <v>-1000</v>
      </c>
      <c r="D38" s="12">
        <f>D36-D37</f>
        <v>200</v>
      </c>
      <c r="E38" s="12">
        <f t="shared" ref="E38:G38" si="10">E36-E37</f>
        <v>450</v>
      </c>
      <c r="F38" s="12">
        <f t="shared" si="10"/>
        <v>700</v>
      </c>
      <c r="G38" s="12">
        <f t="shared" si="10"/>
        <v>950</v>
      </c>
      <c r="H38" s="12"/>
      <c r="I38" s="12"/>
      <c r="J38" s="12"/>
    </row>
    <row r="39" spans="1:10" x14ac:dyDescent="0.2">
      <c r="C39" s="11">
        <f>C38</f>
        <v>-1000</v>
      </c>
      <c r="D39" s="12">
        <f>PV($B$3,D1,0,-D38,0)</f>
        <v>173.91304347826087</v>
      </c>
      <c r="E39" s="12">
        <f t="shared" ref="E39:G39" si="11">PV($B$3,E1,0,-E38,0)</f>
        <v>340.26465028355392</v>
      </c>
      <c r="F39" s="12">
        <f t="shared" si="11"/>
        <v>460.26136270239186</v>
      </c>
      <c r="G39" s="12">
        <f t="shared" si="11"/>
        <v>543.16558331338172</v>
      </c>
      <c r="H39" s="12"/>
      <c r="I39" s="12"/>
      <c r="J39" s="12"/>
    </row>
    <row r="40" spans="1:10" x14ac:dyDescent="0.2">
      <c r="B40" s="2" t="s">
        <v>22</v>
      </c>
      <c r="C40" s="21">
        <f>C38</f>
        <v>-1000</v>
      </c>
      <c r="D40" s="16">
        <f>C40+D38</f>
        <v>-800</v>
      </c>
      <c r="E40" s="16">
        <f t="shared" ref="E40:G40" si="12">D40+E38</f>
        <v>-350</v>
      </c>
      <c r="F40" s="16">
        <f t="shared" si="12"/>
        <v>350</v>
      </c>
      <c r="G40" s="16">
        <f t="shared" si="12"/>
        <v>1300</v>
      </c>
      <c r="H40" s="12"/>
      <c r="I40" s="12"/>
      <c r="J40" s="12"/>
    </row>
    <row r="42" spans="1:10" x14ac:dyDescent="0.2">
      <c r="B42" s="3" t="s">
        <v>16</v>
      </c>
      <c r="C42" s="18">
        <f>SUM(C39:G39)</f>
        <v>517.60463977758832</v>
      </c>
      <c r="D42" s="10">
        <f>NPV(B3,D38:G38)+C38</f>
        <v>517.60463977758832</v>
      </c>
    </row>
    <row r="43" spans="1:10" x14ac:dyDescent="0.2">
      <c r="B43" s="3" t="s">
        <v>17</v>
      </c>
      <c r="C43" s="19">
        <f>IRR(C38:G38)</f>
        <v>0.33285925453040055</v>
      </c>
    </row>
    <row r="44" spans="1:10" x14ac:dyDescent="0.2">
      <c r="B44" s="3" t="s">
        <v>4</v>
      </c>
      <c r="C44" s="20">
        <f>-F39/G38+F1</f>
        <v>2.5155143550501138</v>
      </c>
    </row>
    <row r="48" spans="1:10" x14ac:dyDescent="0.2">
      <c r="A48" s="25" t="s">
        <v>11</v>
      </c>
    </row>
    <row r="49" spans="1:11" x14ac:dyDescent="0.2">
      <c r="A49" s="12"/>
      <c r="B49" s="11"/>
    </row>
    <row r="50" spans="1:11" x14ac:dyDescent="0.2">
      <c r="A50" s="11"/>
      <c r="B50" s="11" t="s">
        <v>18</v>
      </c>
      <c r="D50" s="12">
        <v>3000</v>
      </c>
      <c r="E50" s="12">
        <v>2000</v>
      </c>
      <c r="F50" s="12">
        <v>1000</v>
      </c>
      <c r="G50" s="12">
        <v>1000</v>
      </c>
      <c r="H50" s="12">
        <v>500</v>
      </c>
      <c r="I50" s="12">
        <v>500</v>
      </c>
      <c r="J50" s="12">
        <v>500</v>
      </c>
      <c r="K50" s="12">
        <v>0</v>
      </c>
    </row>
    <row r="51" spans="1:11" x14ac:dyDescent="0.2">
      <c r="A51" s="14">
        <v>0.25</v>
      </c>
      <c r="B51" s="11" t="s">
        <v>19</v>
      </c>
      <c r="D51" s="16">
        <f>D50*$A$8</f>
        <v>900</v>
      </c>
      <c r="E51" s="16">
        <f t="shared" ref="E51:J51" si="13">E50*$A$8</f>
        <v>600</v>
      </c>
      <c r="F51" s="16">
        <f t="shared" si="13"/>
        <v>300</v>
      </c>
      <c r="G51" s="16">
        <f t="shared" si="13"/>
        <v>300</v>
      </c>
      <c r="H51" s="16">
        <f t="shared" si="13"/>
        <v>150</v>
      </c>
      <c r="I51" s="16">
        <f t="shared" si="13"/>
        <v>150</v>
      </c>
      <c r="J51" s="16">
        <f t="shared" si="13"/>
        <v>150</v>
      </c>
      <c r="K51" s="12">
        <f t="shared" ref="K51" si="14">K50*$A$51</f>
        <v>0</v>
      </c>
    </row>
    <row r="52" spans="1:11" x14ac:dyDescent="0.2">
      <c r="A52" s="11"/>
      <c r="B52" s="11" t="s">
        <v>20</v>
      </c>
      <c r="D52" s="13">
        <v>100</v>
      </c>
      <c r="E52" s="13">
        <v>100</v>
      </c>
      <c r="F52" s="13">
        <v>100</v>
      </c>
      <c r="G52" s="13">
        <v>100</v>
      </c>
      <c r="H52" s="13">
        <v>100</v>
      </c>
      <c r="I52" s="13">
        <v>100</v>
      </c>
      <c r="J52" s="13">
        <v>100</v>
      </c>
      <c r="K52" s="13">
        <v>0</v>
      </c>
    </row>
    <row r="53" spans="1:11" x14ac:dyDescent="0.2">
      <c r="B53" s="3" t="s">
        <v>23</v>
      </c>
      <c r="C53" s="11">
        <v>-700</v>
      </c>
      <c r="D53" s="12">
        <f>D51-D52</f>
        <v>800</v>
      </c>
      <c r="E53" s="12">
        <f t="shared" ref="E53:K53" si="15">E51-E52</f>
        <v>500</v>
      </c>
      <c r="F53" s="12">
        <f t="shared" si="15"/>
        <v>200</v>
      </c>
      <c r="G53" s="12">
        <f t="shared" si="15"/>
        <v>200</v>
      </c>
      <c r="H53" s="12">
        <f t="shared" si="15"/>
        <v>50</v>
      </c>
      <c r="I53" s="12">
        <f t="shared" si="15"/>
        <v>50</v>
      </c>
      <c r="J53" s="12">
        <f t="shared" si="15"/>
        <v>50</v>
      </c>
      <c r="K53" s="12">
        <f t="shared" si="15"/>
        <v>0</v>
      </c>
    </row>
    <row r="54" spans="1:11" x14ac:dyDescent="0.2">
      <c r="C54" s="31">
        <f>C53</f>
        <v>-700</v>
      </c>
      <c r="D54" s="12">
        <f>PV($B$3,D1,0,-D53,0)</f>
        <v>695.6521739130435</v>
      </c>
      <c r="E54" s="12">
        <f t="shared" ref="E54:J54" si="16">PV($B$3,E1,0,-E53,0)</f>
        <v>378.07183364839324</v>
      </c>
      <c r="F54" s="12">
        <f t="shared" si="16"/>
        <v>131.50324648639767</v>
      </c>
      <c r="G54" s="12">
        <f t="shared" si="16"/>
        <v>114.35064911860667</v>
      </c>
      <c r="H54" s="12">
        <f t="shared" si="16"/>
        <v>24.858836764914493</v>
      </c>
      <c r="I54" s="12">
        <f t="shared" si="16"/>
        <v>21.616379795577824</v>
      </c>
      <c r="J54" s="12">
        <f t="shared" si="16"/>
        <v>18.796851996154633</v>
      </c>
    </row>
    <row r="55" spans="1:11" x14ac:dyDescent="0.2">
      <c r="B55" s="2" t="s">
        <v>22</v>
      </c>
      <c r="C55" s="17">
        <f>C53</f>
        <v>-700</v>
      </c>
      <c r="D55" s="16">
        <f>C55+D53</f>
        <v>100</v>
      </c>
      <c r="E55" s="16">
        <f t="shared" ref="E55:J55" si="17">D55+E53</f>
        <v>600</v>
      </c>
      <c r="F55" s="16">
        <f t="shared" si="17"/>
        <v>800</v>
      </c>
      <c r="G55" s="16">
        <f t="shared" si="17"/>
        <v>1000</v>
      </c>
      <c r="H55" s="16">
        <f t="shared" si="17"/>
        <v>1050</v>
      </c>
      <c r="I55" s="16">
        <f t="shared" si="17"/>
        <v>1100</v>
      </c>
      <c r="J55" s="16">
        <f t="shared" si="17"/>
        <v>1150</v>
      </c>
      <c r="K55" s="12"/>
    </row>
    <row r="57" spans="1:11" x14ac:dyDescent="0.2">
      <c r="B57" s="3" t="s">
        <v>16</v>
      </c>
      <c r="C57" s="18">
        <f>SUM(C54:J54)</f>
        <v>684.84997172308795</v>
      </c>
      <c r="D57" s="10">
        <f>NPV(B3,D53:J53)+C53</f>
        <v>684.84997172308795</v>
      </c>
    </row>
    <row r="58" spans="1:11" x14ac:dyDescent="0.2">
      <c r="B58" s="3" t="s">
        <v>17</v>
      </c>
      <c r="C58" s="19">
        <f>IRR(C53:J53)</f>
        <v>0.72437688886864704</v>
      </c>
    </row>
    <row r="59" spans="1:11" x14ac:dyDescent="0.2">
      <c r="B59" s="3" t="s">
        <v>4</v>
      </c>
      <c r="C59" s="20">
        <f>-F55/G53+F1</f>
        <v>-1</v>
      </c>
    </row>
    <row r="63" spans="1:11" x14ac:dyDescent="0.2">
      <c r="A63" s="25" t="s">
        <v>12</v>
      </c>
    </row>
    <row r="64" spans="1:11" x14ac:dyDescent="0.2">
      <c r="A64" s="12"/>
      <c r="B64" s="11"/>
    </row>
    <row r="65" spans="1:11" x14ac:dyDescent="0.2">
      <c r="A65" s="11"/>
      <c r="B65" s="11" t="s">
        <v>18</v>
      </c>
      <c r="D65" s="12">
        <v>500</v>
      </c>
      <c r="E65" s="12">
        <v>600</v>
      </c>
      <c r="F65" s="12">
        <v>800</v>
      </c>
      <c r="G65" s="12">
        <v>1200</v>
      </c>
      <c r="H65" s="12">
        <v>2000</v>
      </c>
      <c r="I65" s="12">
        <v>3000</v>
      </c>
      <c r="J65" s="12">
        <v>4000</v>
      </c>
      <c r="K65" s="12">
        <v>5000</v>
      </c>
    </row>
    <row r="66" spans="1:11" x14ac:dyDescent="0.2">
      <c r="A66" s="14">
        <v>0.25</v>
      </c>
      <c r="B66" s="11" t="s">
        <v>19</v>
      </c>
      <c r="D66" s="16">
        <f>D65*$A$66</f>
        <v>125</v>
      </c>
      <c r="E66" s="16">
        <f t="shared" ref="E66:K66" si="18">E65*$A$66</f>
        <v>150</v>
      </c>
      <c r="F66" s="16">
        <f t="shared" si="18"/>
        <v>200</v>
      </c>
      <c r="G66" s="16">
        <f t="shared" si="18"/>
        <v>300</v>
      </c>
      <c r="H66" s="16">
        <f t="shared" si="18"/>
        <v>500</v>
      </c>
      <c r="I66" s="16">
        <f t="shared" si="18"/>
        <v>750</v>
      </c>
      <c r="J66" s="16">
        <f t="shared" si="18"/>
        <v>1000</v>
      </c>
      <c r="K66" s="16">
        <f t="shared" si="18"/>
        <v>1250</v>
      </c>
    </row>
    <row r="67" spans="1:11" x14ac:dyDescent="0.2">
      <c r="A67" s="11"/>
      <c r="B67" s="11" t="s">
        <v>20</v>
      </c>
      <c r="D67" s="13">
        <v>100</v>
      </c>
      <c r="E67" s="13">
        <v>100</v>
      </c>
      <c r="F67" s="13">
        <v>100</v>
      </c>
      <c r="G67" s="13">
        <v>100</v>
      </c>
      <c r="H67" s="13">
        <v>100</v>
      </c>
      <c r="I67" s="13">
        <v>100</v>
      </c>
      <c r="J67" s="13">
        <v>100</v>
      </c>
      <c r="K67" s="13">
        <v>100</v>
      </c>
    </row>
    <row r="68" spans="1:11" x14ac:dyDescent="0.2">
      <c r="B68" s="3" t="s">
        <v>23</v>
      </c>
      <c r="C68" s="11">
        <v>-500</v>
      </c>
      <c r="D68" s="12">
        <f>D66-D67</f>
        <v>25</v>
      </c>
      <c r="E68" s="12">
        <f t="shared" ref="E68:K68" si="19">E66-E67</f>
        <v>50</v>
      </c>
      <c r="F68" s="12">
        <f t="shared" si="19"/>
        <v>100</v>
      </c>
      <c r="G68" s="12">
        <f t="shared" si="19"/>
        <v>200</v>
      </c>
      <c r="H68" s="12">
        <f t="shared" si="19"/>
        <v>400</v>
      </c>
      <c r="I68" s="12">
        <f t="shared" si="19"/>
        <v>650</v>
      </c>
      <c r="J68" s="12">
        <f t="shared" si="19"/>
        <v>900</v>
      </c>
      <c r="K68" s="12">
        <f t="shared" si="19"/>
        <v>1150</v>
      </c>
    </row>
    <row r="69" spans="1:11" x14ac:dyDescent="0.2">
      <c r="C69" s="31">
        <f>C68</f>
        <v>-500</v>
      </c>
      <c r="D69" s="12">
        <f>PV($B$3,D1,0,-D68,0)</f>
        <v>21.739130434782609</v>
      </c>
      <c r="E69" s="12">
        <f t="shared" ref="E69:K69" si="20">PV($B$3,E1,0,-E68,0)</f>
        <v>37.807183364839325</v>
      </c>
      <c r="F69" s="12">
        <f t="shared" si="20"/>
        <v>65.751623243198836</v>
      </c>
      <c r="G69" s="12">
        <f t="shared" si="20"/>
        <v>114.35064911860667</v>
      </c>
      <c r="H69" s="12">
        <f t="shared" si="20"/>
        <v>198.87069411931594</v>
      </c>
      <c r="I69" s="12">
        <f t="shared" si="20"/>
        <v>281.01293734251169</v>
      </c>
      <c r="J69" s="12">
        <f t="shared" si="20"/>
        <v>338.34333593078338</v>
      </c>
      <c r="K69" s="12">
        <f t="shared" si="20"/>
        <v>375.9370399230927</v>
      </c>
    </row>
    <row r="70" spans="1:11" x14ac:dyDescent="0.2">
      <c r="B70" s="2" t="s">
        <v>22</v>
      </c>
      <c r="C70" s="17">
        <f>C68</f>
        <v>-500</v>
      </c>
      <c r="D70" s="16">
        <f>C70+D68</f>
        <v>-475</v>
      </c>
      <c r="E70" s="16">
        <f t="shared" ref="E70:K70" si="21">D70+E68</f>
        <v>-425</v>
      </c>
      <c r="F70" s="16">
        <f t="shared" si="21"/>
        <v>-325</v>
      </c>
      <c r="G70" s="16">
        <f t="shared" si="21"/>
        <v>-125</v>
      </c>
      <c r="H70" s="16">
        <f t="shared" si="21"/>
        <v>275</v>
      </c>
      <c r="I70" s="16">
        <f t="shared" si="21"/>
        <v>925</v>
      </c>
      <c r="J70" s="16">
        <f t="shared" si="21"/>
        <v>1825</v>
      </c>
      <c r="K70" s="16">
        <f t="shared" si="21"/>
        <v>2975</v>
      </c>
    </row>
    <row r="72" spans="1:11" x14ac:dyDescent="0.2">
      <c r="B72" s="3" t="s">
        <v>16</v>
      </c>
      <c r="C72" s="18">
        <f>SUM(C69:K69)</f>
        <v>933.81259347713114</v>
      </c>
      <c r="D72" s="10">
        <f>NPV(B3,D68:K68)+C68</f>
        <v>933.81259347713103</v>
      </c>
    </row>
    <row r="73" spans="1:11" x14ac:dyDescent="0.2">
      <c r="B73" s="3" t="s">
        <v>17</v>
      </c>
      <c r="C73" s="19">
        <f>IRR(C68:K68)</f>
        <v>0.37672055004723104</v>
      </c>
    </row>
    <row r="74" spans="1:11" x14ac:dyDescent="0.2">
      <c r="B74" s="3" t="s">
        <v>4</v>
      </c>
      <c r="C74" s="20">
        <f>F70/G68+F1</f>
        <v>1.375</v>
      </c>
    </row>
  </sheetData>
  <sortState xmlns:xlrd2="http://schemas.microsoft.com/office/spreadsheetml/2017/richdata2" ref="N17:P21">
    <sortCondition descending="1" ref="O17:O21"/>
  </sortState>
  <pageMargins left="0.43307086614173229" right="0.43307086614173229" top="0.74803149606299213" bottom="0.51181102362204722" header="0.31496062992125984" footer="0.31496062992125984"/>
  <pageSetup scale="82" orientation="portrait" verticalDpi="4294967293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NPV IRR Payback</vt:lpstr>
      <vt:lpstr>NPV IRR Payback Base</vt:lpstr>
      <vt:lpstr>'NPV IRR Payback'!Print_Area</vt:lpstr>
      <vt:lpstr>'NPV IRR Payback Base'!Print_Area</vt:lpstr>
      <vt:lpstr>'NPV IRR Payback'!Print_Titles</vt:lpstr>
      <vt:lpstr>'NPV IRR Payback Base'!Print_Titles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Duncan.Reith</dc:creator>
  <cp:lastModifiedBy>shreya Punj</cp:lastModifiedBy>
  <cp:lastPrinted>2022-10-21T20:03:17Z</cp:lastPrinted>
  <dcterms:created xsi:type="dcterms:W3CDTF">2015-09-13T15:01:21Z</dcterms:created>
  <dcterms:modified xsi:type="dcterms:W3CDTF">2025-12-10T21:00:14Z</dcterms:modified>
</cp:coreProperties>
</file>