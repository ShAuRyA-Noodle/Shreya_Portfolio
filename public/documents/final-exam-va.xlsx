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shreyapunj/Desktop/"/>
    </mc:Choice>
  </mc:AlternateContent>
  <xr:revisionPtr revIDLastSave="0" documentId="8_{79A304FB-E3CF-B642-98F3-1F13E1D417C5}" xr6:coauthVersionLast="47" xr6:coauthVersionMax="47" xr10:uidLastSave="{00000000-0000-0000-0000-000000000000}"/>
  <bookViews>
    <workbookView xWindow="15620" yWindow="500" windowWidth="13180" windowHeight="16020" activeTab="4" xr2:uid="{1B871F4D-19CA-4E94-B1B5-627ACD690019}"/>
  </bookViews>
  <sheets>
    <sheet name="Not used S22" sheetId="23" state="hidden" r:id="rId1"/>
    <sheet name="Lease vs. Buy HP" sheetId="15" state="hidden" r:id="rId2"/>
    <sheet name="Lease vs. Buy MSFT" sheetId="16" state="hidden" r:id="rId3"/>
    <sheet name="Webflix" sheetId="14" state="hidden" r:id="rId4"/>
    <sheet name="Alpha and Bravo" sheetId="7" r:id="rId5"/>
    <sheet name="Variance Analysis OLD" sheetId="12" state="hidden" r:id="rId6"/>
    <sheet name="Lease vs. Buy OLD" sheetId="8" state="hidden" r:id="rId7"/>
    <sheet name="Sensitivity" sheetId="4"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7" l="1"/>
  <c r="F3" i="7"/>
  <c r="F11" i="7"/>
  <c r="F2" i="7"/>
  <c r="F16" i="7"/>
  <c r="F7" i="7"/>
  <c r="F15" i="7"/>
  <c r="F6" i="7"/>
  <c r="F14" i="7"/>
  <c r="F5" i="7"/>
  <c r="F13" i="7"/>
  <c r="F4" i="7"/>
  <c r="C35" i="23"/>
  <c r="C28" i="23"/>
  <c r="C26" i="23"/>
  <c r="C23" i="23"/>
  <c r="C24" i="23" s="1"/>
  <c r="C16" i="23"/>
  <c r="C14" i="23"/>
  <c r="C17" i="23" s="1"/>
  <c r="C11" i="23"/>
  <c r="C10" i="23"/>
  <c r="C25" i="23" s="1"/>
  <c r="C5" i="23"/>
  <c r="C33" i="23" l="1"/>
  <c r="C18" i="23"/>
  <c r="C29" i="23"/>
  <c r="C30" i="23" s="1"/>
  <c r="C27" i="23"/>
  <c r="C39" i="23" l="1"/>
  <c r="C34" i="23"/>
  <c r="C36" i="23" s="1"/>
  <c r="C40" i="23"/>
  <c r="J10" i="15" l="1"/>
  <c r="G21" i="14" l="1"/>
  <c r="F21" i="14"/>
  <c r="E21" i="14"/>
  <c r="C28" i="14"/>
  <c r="C36" i="14"/>
  <c r="C34" i="14"/>
  <c r="C33" i="14"/>
  <c r="C26" i="14"/>
  <c r="C16" i="14"/>
  <c r="C15" i="14"/>
  <c r="C21" i="14"/>
  <c r="J40" i="16"/>
  <c r="L14" i="16"/>
  <c r="J31" i="16" s="1"/>
  <c r="J36" i="16" s="1"/>
  <c r="L23" i="16"/>
  <c r="K30" i="16" s="1"/>
  <c r="M18" i="16"/>
  <c r="N37" i="16" s="1"/>
  <c r="M17" i="16"/>
  <c r="M37" i="16" s="1"/>
  <c r="M16" i="16"/>
  <c r="L37" i="16" s="1"/>
  <c r="M15" i="16"/>
  <c r="K37" i="16" s="1"/>
  <c r="M14" i="16"/>
  <c r="J37" i="16" s="1"/>
  <c r="K14" i="16"/>
  <c r="N6" i="16"/>
  <c r="M6" i="16"/>
  <c r="M7" i="16" s="1"/>
  <c r="M8" i="16" s="1"/>
  <c r="L6" i="16"/>
  <c r="L7" i="16" s="1"/>
  <c r="K6" i="16"/>
  <c r="K7" i="16" s="1"/>
  <c r="J6" i="16"/>
  <c r="J7" i="16" s="1"/>
  <c r="N37" i="15"/>
  <c r="M37" i="15"/>
  <c r="L37" i="15"/>
  <c r="K37" i="15"/>
  <c r="J37" i="15"/>
  <c r="K36" i="15"/>
  <c r="L36" i="15"/>
  <c r="M36" i="15"/>
  <c r="N36" i="15"/>
  <c r="J36" i="15"/>
  <c r="K35" i="15"/>
  <c r="L35" i="15"/>
  <c r="M35" i="15"/>
  <c r="N35" i="15"/>
  <c r="J35" i="15"/>
  <c r="K33" i="15"/>
  <c r="N32" i="15"/>
  <c r="N33" i="15" s="1"/>
  <c r="K32" i="15"/>
  <c r="L32" i="15"/>
  <c r="L33" i="15" s="1"/>
  <c r="M32" i="15"/>
  <c r="M33" i="15" s="1"/>
  <c r="J32" i="15"/>
  <c r="J33" i="15" s="1"/>
  <c r="N31" i="15"/>
  <c r="M31" i="15"/>
  <c r="L31" i="15"/>
  <c r="K31" i="15"/>
  <c r="J31" i="15"/>
  <c r="N30" i="15"/>
  <c r="M30" i="15"/>
  <c r="L30" i="15"/>
  <c r="K30" i="15"/>
  <c r="J30" i="15"/>
  <c r="K6" i="15"/>
  <c r="L6" i="15"/>
  <c r="L7" i="15" s="1"/>
  <c r="M6" i="15"/>
  <c r="N6" i="15"/>
  <c r="J6" i="15"/>
  <c r="J7" i="15" s="1"/>
  <c r="M21" i="15"/>
  <c r="L26" i="15" s="1"/>
  <c r="M18" i="15"/>
  <c r="M17" i="15"/>
  <c r="M16" i="15"/>
  <c r="M15" i="15"/>
  <c r="M14" i="15"/>
  <c r="K14" i="15"/>
  <c r="N7" i="16" l="1"/>
  <c r="N8" i="16" s="1"/>
  <c r="J8" i="16"/>
  <c r="J10" i="16" s="1"/>
  <c r="N14" i="16"/>
  <c r="K15" i="16" s="1"/>
  <c r="K34" i="15"/>
  <c r="K38" i="15" s="1"/>
  <c r="J34" i="15"/>
  <c r="J38" i="15" s="1"/>
  <c r="K35" i="16"/>
  <c r="L15" i="16"/>
  <c r="K31" i="16" s="1"/>
  <c r="K36" i="16" s="1"/>
  <c r="L26" i="16"/>
  <c r="N30" i="16" s="1"/>
  <c r="K8" i="16"/>
  <c r="L22" i="16"/>
  <c r="J30" i="16" s="1"/>
  <c r="L8" i="16"/>
  <c r="L24" i="16"/>
  <c r="L30" i="16" s="1"/>
  <c r="L25" i="16"/>
  <c r="M30" i="16" s="1"/>
  <c r="K22" i="16"/>
  <c r="M34" i="15"/>
  <c r="M38" i="15" s="1"/>
  <c r="L34" i="15"/>
  <c r="L38" i="15" s="1"/>
  <c r="J40" i="15" s="1"/>
  <c r="N34" i="15"/>
  <c r="N38" i="15" s="1"/>
  <c r="M7" i="15"/>
  <c r="M8" i="15" s="1"/>
  <c r="L8" i="15"/>
  <c r="N7" i="15"/>
  <c r="N8" i="15" s="1"/>
  <c r="K7" i="15"/>
  <c r="K8" i="15" s="1"/>
  <c r="J8" i="15"/>
  <c r="K22" i="15"/>
  <c r="L14" i="15"/>
  <c r="L25" i="15"/>
  <c r="L22" i="15"/>
  <c r="L23" i="15"/>
  <c r="L24" i="15"/>
  <c r="N15" i="16" l="1"/>
  <c r="K16" i="16" s="1"/>
  <c r="N35" i="16"/>
  <c r="L16" i="16"/>
  <c r="L31" i="16" s="1"/>
  <c r="L36" i="16" s="1"/>
  <c r="N16" i="16"/>
  <c r="K17" i="16" s="1"/>
  <c r="M22" i="16"/>
  <c r="K23" i="16" s="1"/>
  <c r="M23" i="16" s="1"/>
  <c r="K24" i="16" s="1"/>
  <c r="M24" i="16" s="1"/>
  <c r="K25" i="16" s="1"/>
  <c r="M25" i="16" s="1"/>
  <c r="K26" i="16" s="1"/>
  <c r="M26" i="16" s="1"/>
  <c r="M35" i="16"/>
  <c r="L32" i="16"/>
  <c r="L35" i="16"/>
  <c r="K32" i="16"/>
  <c r="J35" i="16"/>
  <c r="J32" i="16"/>
  <c r="M22" i="15"/>
  <c r="K23" i="15" s="1"/>
  <c r="M23" i="15" s="1"/>
  <c r="K24" i="15" s="1"/>
  <c r="M24" i="15" s="1"/>
  <c r="K25" i="15" s="1"/>
  <c r="M25" i="15" s="1"/>
  <c r="K26" i="15" s="1"/>
  <c r="M26" i="15" s="1"/>
  <c r="N14" i="15"/>
  <c r="K15" i="15" s="1"/>
  <c r="L33" i="16" l="1"/>
  <c r="L34" i="16"/>
  <c r="L38" i="16" s="1"/>
  <c r="L17" i="16"/>
  <c r="M31" i="16" s="1"/>
  <c r="K33" i="16"/>
  <c r="K34" i="16" s="1"/>
  <c r="K38" i="16" s="1"/>
  <c r="J33" i="16"/>
  <c r="J34" i="16" s="1"/>
  <c r="J38" i="16" s="1"/>
  <c r="L15" i="15"/>
  <c r="N17" i="16" l="1"/>
  <c r="K18" i="16" s="1"/>
  <c r="L18" i="16"/>
  <c r="N31" i="16" s="1"/>
  <c r="M36" i="16"/>
  <c r="M32" i="16"/>
  <c r="N15" i="15"/>
  <c r="K16" i="15" s="1"/>
  <c r="L16" i="15" s="1"/>
  <c r="N36" i="16" l="1"/>
  <c r="N32" i="16"/>
  <c r="M33" i="16"/>
  <c r="M34" i="16" s="1"/>
  <c r="M38" i="16" s="1"/>
  <c r="N18" i="16"/>
  <c r="N16" i="15"/>
  <c r="K17" i="15" s="1"/>
  <c r="N33" i="16" l="1"/>
  <c r="N34" i="16" s="1"/>
  <c r="N38" i="16" s="1"/>
  <c r="L17" i="15"/>
  <c r="N17" i="15" l="1"/>
  <c r="K18" i="15" s="1"/>
  <c r="L18" i="15" l="1"/>
  <c r="N18" i="15" l="1"/>
  <c r="C11" i="7" l="1"/>
  <c r="C32" i="14"/>
  <c r="C5" i="14"/>
  <c r="K13" i="8"/>
  <c r="I13" i="8"/>
  <c r="J5" i="8"/>
  <c r="E28" i="12"/>
  <c r="C28" i="12"/>
  <c r="E24" i="12"/>
  <c r="C24" i="12"/>
  <c r="E21" i="12"/>
  <c r="E20" i="12"/>
  <c r="E19" i="12"/>
  <c r="E18" i="12"/>
  <c r="C21" i="12"/>
  <c r="C20" i="12"/>
  <c r="C19" i="12"/>
  <c r="C18" i="12"/>
  <c r="C6" i="14" l="1"/>
  <c r="C11" i="14"/>
  <c r="C12" i="14" s="1"/>
  <c r="K20" i="8"/>
  <c r="J21" i="8" s="1"/>
  <c r="K17" i="8"/>
  <c r="K16" i="8"/>
  <c r="K15" i="8"/>
  <c r="K14" i="8"/>
  <c r="N5" i="8"/>
  <c r="N6" i="8" s="1"/>
  <c r="M5" i="8"/>
  <c r="M6" i="8" s="1"/>
  <c r="L5" i="8"/>
  <c r="L6" i="8" s="1"/>
  <c r="K5" i="8"/>
  <c r="K6" i="8" s="1"/>
  <c r="J6" i="8"/>
  <c r="C27" i="14" l="1"/>
  <c r="C35" i="14"/>
  <c r="J25" i="8"/>
  <c r="I9" i="8"/>
  <c r="I21" i="8"/>
  <c r="J13" i="8"/>
  <c r="N13" i="8" s="1"/>
  <c r="J24" i="8"/>
  <c r="J22" i="8"/>
  <c r="J23" i="8"/>
  <c r="C22" i="7"/>
  <c r="C16" i="7"/>
  <c r="C5" i="7"/>
  <c r="C8" i="7" l="1"/>
  <c r="L13" i="8"/>
  <c r="I14" i="8" s="1"/>
  <c r="J14" i="8" s="1"/>
  <c r="T4" i="8" s="1"/>
  <c r="T6" i="8" s="1"/>
  <c r="T7" i="8" s="1"/>
  <c r="T10" i="8" s="1"/>
  <c r="S4" i="8"/>
  <c r="S6" i="8" s="1"/>
  <c r="S7" i="8" s="1"/>
  <c r="S10" i="8" s="1"/>
  <c r="K21" i="8"/>
  <c r="I22" i="8" s="1"/>
  <c r="K22" i="8" s="1"/>
  <c r="I23" i="8" s="1"/>
  <c r="K23" i="8" s="1"/>
  <c r="I24" i="8" s="1"/>
  <c r="K24" i="8" s="1"/>
  <c r="I25" i="8" s="1"/>
  <c r="K25" i="8" s="1"/>
  <c r="C19" i="7"/>
  <c r="L14" i="8" l="1"/>
  <c r="I15" i="8" s="1"/>
  <c r="J15" i="8" l="1"/>
  <c r="U4" i="8" s="1"/>
  <c r="U6" i="8" s="1"/>
  <c r="U7" i="8" s="1"/>
  <c r="U10" i="8" s="1"/>
  <c r="L15" i="8" l="1"/>
  <c r="I16" i="8" s="1"/>
  <c r="J16" i="8"/>
  <c r="V4" i="8" s="1"/>
  <c r="V6" i="8" s="1"/>
  <c r="V7" i="8" s="1"/>
  <c r="V10" i="8" s="1"/>
  <c r="L16" i="8" l="1"/>
  <c r="I17" i="8" s="1"/>
  <c r="J17" i="8" l="1"/>
  <c r="W4" i="8" s="1"/>
  <c r="W6" i="8" s="1"/>
  <c r="W7" i="8" s="1"/>
  <c r="W10" i="8" s="1"/>
  <c r="R14" i="8" s="1"/>
  <c r="L17" i="8" l="1"/>
</calcChain>
</file>

<file path=xl/sharedStrings.xml><?xml version="1.0" encoding="utf-8"?>
<sst xmlns="http://schemas.openxmlformats.org/spreadsheetml/2006/main" count="353" uniqueCount="197">
  <si>
    <t>Question 4- Part I</t>
  </si>
  <si>
    <t>Sale price - per Unit</t>
  </si>
  <si>
    <t>Production cost - Per unit</t>
  </si>
  <si>
    <t>"Additional operating and selling Costs"</t>
  </si>
  <si>
    <t>Gross margin - per unit</t>
  </si>
  <si>
    <t>Annual Fixed Costs</t>
  </si>
  <si>
    <t>Breakeven Units</t>
  </si>
  <si>
    <t>As Dollars</t>
  </si>
  <si>
    <t>Question 4- Part II</t>
  </si>
  <si>
    <t>Previous Gross margin - per unit</t>
  </si>
  <si>
    <t>Part II</t>
  </si>
  <si>
    <t>less:</t>
  </si>
  <si>
    <t>New Marketing Investment</t>
  </si>
  <si>
    <t>Additional Sales commission</t>
  </si>
  <si>
    <t>Sales commission</t>
  </si>
  <si>
    <t>New Gross Margin - per unit</t>
  </si>
  <si>
    <t>Increase in Total No. of units</t>
  </si>
  <si>
    <t>New Breakeven</t>
  </si>
  <si>
    <t>Revised Break Even Units after Doubling</t>
  </si>
  <si>
    <t>Sales Commission Per Unit</t>
  </si>
  <si>
    <t>Does the deal make sense?</t>
  </si>
  <si>
    <t>YES</t>
  </si>
  <si>
    <t>Variable Costs Per Unit</t>
  </si>
  <si>
    <t>If we assume they were operating at break-even sales</t>
  </si>
  <si>
    <t>Cost of Goods Sold Per Unit</t>
  </si>
  <si>
    <t>Gross Margin Per Unit</t>
  </si>
  <si>
    <t>New Sales Volume</t>
  </si>
  <si>
    <t>Net new sales volume</t>
  </si>
  <si>
    <t>Marketing Costs (Fixed)</t>
  </si>
  <si>
    <t>Sales - Previous</t>
  </si>
  <si>
    <t>Total Marketing costs</t>
  </si>
  <si>
    <t>Sales - New</t>
  </si>
  <si>
    <t>Total Fixed Costs</t>
  </si>
  <si>
    <t>Net New New Sales $</t>
  </si>
  <si>
    <t>Gross Margin - Previous</t>
  </si>
  <si>
    <t>Revised # of Units to Sell to Break Even</t>
  </si>
  <si>
    <t>Gross Margin - New</t>
  </si>
  <si>
    <t>Net New Gross Margin</t>
  </si>
  <si>
    <t>If we make no assumptions about previous unit volumes</t>
  </si>
  <si>
    <t>New Gross Margin per unit</t>
  </si>
  <si>
    <t>"Promise" of double the business - New margin adjusted for scale</t>
  </si>
  <si>
    <t>vs. previous Margin $</t>
  </si>
  <si>
    <t>Relative increase in Gross Margin dollars</t>
  </si>
  <si>
    <t>OR considered differently, just for illustration</t>
  </si>
  <si>
    <t>Lost margin dollars for half of the units</t>
  </si>
  <si>
    <t>New margin on half the units that would not exist otherwise</t>
  </si>
  <si>
    <t>the firm</t>
  </si>
  <si>
    <t>discount rate</t>
  </si>
  <si>
    <t>Lease - Howard Packard</t>
  </si>
  <si>
    <t>year 1</t>
  </si>
  <si>
    <t>year 2</t>
  </si>
  <si>
    <t>year 3</t>
  </si>
  <si>
    <t>year 4</t>
  </si>
  <si>
    <t>year 5</t>
  </si>
  <si>
    <t>income tax rate</t>
  </si>
  <si>
    <t>Net New Earnings before Tax</t>
  </si>
  <si>
    <t>Annual lease cost before tax</t>
  </si>
  <si>
    <t>Howard Packard</t>
  </si>
  <si>
    <t>Operating Income</t>
  </si>
  <si>
    <t>Equipment cost</t>
  </si>
  <si>
    <t>Income Tax Expense</t>
  </si>
  <si>
    <t>duration in years</t>
  </si>
  <si>
    <t>Net Income</t>
  </si>
  <si>
    <t>annual lease payment pre tax</t>
  </si>
  <si>
    <t>NPV</t>
  </si>
  <si>
    <t>cost of asset</t>
  </si>
  <si>
    <t>Finance - Howard Packard</t>
  </si>
  <si>
    <t>beginning balance</t>
  </si>
  <si>
    <t>interest</t>
  </si>
  <si>
    <t>payment</t>
  </si>
  <si>
    <t>ending balance</t>
  </si>
  <si>
    <t>depreciation after 5 years</t>
  </si>
  <si>
    <t>year 0</t>
  </si>
  <si>
    <t>financing payment method debt</t>
  </si>
  <si>
    <t>annual interest</t>
  </si>
  <si>
    <t>years to repay</t>
  </si>
  <si>
    <t>CCA</t>
  </si>
  <si>
    <t>Ending balance</t>
  </si>
  <si>
    <t>Less: CCA</t>
  </si>
  <si>
    <t>Less: Interest expense</t>
  </si>
  <si>
    <t>Income tax Expense</t>
  </si>
  <si>
    <t>Addback: CCA</t>
  </si>
  <si>
    <t>Addback: Interest Expense</t>
  </si>
  <si>
    <t>Less: Debt payment</t>
  </si>
  <si>
    <t>Net Cash Flows</t>
  </si>
  <si>
    <t>Lease - Macrosoft</t>
  </si>
  <si>
    <t>MSFT</t>
  </si>
  <si>
    <t>Net Income = Cash flow</t>
  </si>
  <si>
    <t xml:space="preserve">Down payment </t>
  </si>
  <si>
    <t>Finance - Macrosoft</t>
  </si>
  <si>
    <t>Depreciation</t>
  </si>
  <si>
    <t xml:space="preserve">Existing Customer base </t>
  </si>
  <si>
    <t>Average Customer Lifetime (years)</t>
  </si>
  <si>
    <t>Average revenues (per customer, per year)</t>
  </si>
  <si>
    <t>Average cost of revenues (per customer, per year)</t>
  </si>
  <si>
    <t>Discount rate</t>
  </si>
  <si>
    <t>Question 1</t>
  </si>
  <si>
    <t>Gross Margin</t>
  </si>
  <si>
    <t>CLV</t>
  </si>
  <si>
    <t>Question 2</t>
  </si>
  <si>
    <t>Annual margin dollars</t>
  </si>
  <si>
    <t>CLV - Discounted</t>
  </si>
  <si>
    <t>Question 3</t>
  </si>
  <si>
    <t xml:space="preserve">Campaign A cost </t>
  </si>
  <si>
    <t xml:space="preserve">New subscribers </t>
  </si>
  <si>
    <t>CAC</t>
  </si>
  <si>
    <t>Question 4</t>
  </si>
  <si>
    <t>Campaign B cost</t>
  </si>
  <si>
    <t>New customer lifetime</t>
  </si>
  <si>
    <t>New CLV - Discounted</t>
  </si>
  <si>
    <t>Net new CLV</t>
  </si>
  <si>
    <t>CLV x Customer base</t>
  </si>
  <si>
    <t>Question 5</t>
  </si>
  <si>
    <t xml:space="preserve">Campaign C Cost </t>
  </si>
  <si>
    <t>New average revenue</t>
  </si>
  <si>
    <t>New gross margin (per customer, per year)</t>
  </si>
  <si>
    <t>Net new CLV vs. baseline</t>
  </si>
  <si>
    <t xml:space="preserve">Alpha Company </t>
  </si>
  <si>
    <t>Gross Revenues</t>
  </si>
  <si>
    <t xml:space="preserve">Operating Profit Margin (EBIT) </t>
  </si>
  <si>
    <t>Variable Expense</t>
  </si>
  <si>
    <t>Net Profit Margin</t>
  </si>
  <si>
    <t>Fixed Expense</t>
  </si>
  <si>
    <t>Asset Turnover Ratio (Turns)</t>
  </si>
  <si>
    <t>EBIT</t>
  </si>
  <si>
    <t>Return on Assets</t>
  </si>
  <si>
    <t>Interest Expense</t>
  </si>
  <si>
    <t>Assets-to-Equity Ratio (Leverage Multiplier)</t>
  </si>
  <si>
    <t>Tax Expense</t>
  </si>
  <si>
    <t>Return on Equity</t>
  </si>
  <si>
    <t>Total Assets</t>
  </si>
  <si>
    <t>Total Liabilities</t>
  </si>
  <si>
    <t>Total Equity</t>
  </si>
  <si>
    <t>Bravo Company</t>
  </si>
  <si>
    <t xml:space="preserve">Actual production (units) </t>
  </si>
  <si>
    <t>Standard price (per sq ft)</t>
  </si>
  <si>
    <t xml:space="preserve">Actual price (per sq ft) </t>
  </si>
  <si>
    <t xml:space="preserve">Standard Quantity (sq ft/cabinet) </t>
  </si>
  <si>
    <t xml:space="preserve">Actual quantity (sq ft per cabinet) </t>
  </si>
  <si>
    <t xml:space="preserve">Raw material 1 - lumber </t>
  </si>
  <si>
    <t>Standard price (per package)</t>
  </si>
  <si>
    <t>Actual price (each screw)</t>
  </si>
  <si>
    <t xml:space="preserve">Standard Quantity (packages/cabinet) </t>
  </si>
  <si>
    <t xml:space="preserve">Actual quantity (packages per cabinet) </t>
  </si>
  <si>
    <t>Raw material 2 - Screws</t>
  </si>
  <si>
    <t>Standard price (each handle)</t>
  </si>
  <si>
    <t>Actual price (each handle)</t>
  </si>
  <si>
    <t xml:space="preserve">Standard Quantity (Handles/cabinet) </t>
  </si>
  <si>
    <t xml:space="preserve">Actual quantity (handles per cabinet) </t>
  </si>
  <si>
    <t>Raw material 3 - handles</t>
  </si>
  <si>
    <t>Standard price (each hinge)</t>
  </si>
  <si>
    <t>Actual price (each hinge)</t>
  </si>
  <si>
    <t xml:space="preserve">Standard Quantity (hinges/cabinet) </t>
  </si>
  <si>
    <t xml:space="preserve">Actual quantity (hinges per cabinet) </t>
  </si>
  <si>
    <t>Raw material 4 - hinges</t>
  </si>
  <si>
    <t>Standard price (per hr)</t>
  </si>
  <si>
    <t xml:space="preserve">Actual price (per hr) </t>
  </si>
  <si>
    <t xml:space="preserve">Standard Quantity (hrs/cabinet) </t>
  </si>
  <si>
    <t xml:space="preserve">Actual quantity (hrs/cabinet) </t>
  </si>
  <si>
    <t xml:space="preserve">Labour (per hour/per cabinet </t>
  </si>
  <si>
    <t>Price Variance</t>
  </si>
  <si>
    <t>Quantity Variance</t>
  </si>
  <si>
    <t>Unfavourable</t>
  </si>
  <si>
    <t>Favourable</t>
  </si>
  <si>
    <t>Labour</t>
  </si>
  <si>
    <t>Rate Variance</t>
  </si>
  <si>
    <t>Efficiency Variance</t>
  </si>
  <si>
    <t>Lease</t>
  </si>
  <si>
    <t>Financing</t>
  </si>
  <si>
    <t>annual cost before tax</t>
  </si>
  <si>
    <t>interest expense</t>
  </si>
  <si>
    <t>tax effect</t>
  </si>
  <si>
    <t>the lease</t>
  </si>
  <si>
    <t>net cost</t>
  </si>
  <si>
    <t>total expense</t>
  </si>
  <si>
    <t>annual payment pre tax</t>
  </si>
  <si>
    <t>financing option (lasts 5 years)</t>
  </si>
  <si>
    <t xml:space="preserve"> </t>
  </si>
  <si>
    <t>principal payment</t>
  </si>
  <si>
    <t>cash flow</t>
  </si>
  <si>
    <t>npv</t>
  </si>
  <si>
    <t>edning balance</t>
  </si>
  <si>
    <t>Based on the NPV of both Leasing and Financing it would be in the best interest to Lease. This would be because we are maximizing NPV and would go into less debt paying.</t>
  </si>
  <si>
    <t>Banana Computing Company</t>
  </si>
  <si>
    <t>Income Statement</t>
  </si>
  <si>
    <t>Fiscal year-end 2021</t>
  </si>
  <si>
    <t>Revenue</t>
  </si>
  <si>
    <t xml:space="preserve">Production Costs - Total </t>
  </si>
  <si>
    <t>Packaging &amp; Shipping costs</t>
  </si>
  <si>
    <t>Sales Commission</t>
  </si>
  <si>
    <t>Total Cost of Goods Sold</t>
  </si>
  <si>
    <t>Fixed Costs</t>
  </si>
  <si>
    <t>Depreciation Expense</t>
  </si>
  <si>
    <t xml:space="preserve">R&amp;D, Design and Product Development </t>
  </si>
  <si>
    <t>Marketing</t>
  </si>
  <si>
    <t>Warehouse facilities expenses</t>
  </si>
  <si>
    <t>General &amp;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</si>
</sst>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164" formatCode="&quot;$&quot;#,##0.00;[Red]\-&quot;$&quot;#,##0.00"/>
    <numFmt numFmtId="165" formatCode="_-&quot;$&quot;* #,##0.00_-;\-&quot;$&quot;* #,##0.00_-;_-&quot;$&quot;* &quot;-&quot;??_-;_-@_-"/>
    <numFmt numFmtId="166" formatCode="_-&quot;$&quot;* #,##0.0000_-;\-&quot;$&quot;* #,##0.0000_-;_-&quot;$&quot;* &quot;-&quot;??_-;_-@_-"/>
    <numFmt numFmtId="167" formatCode="#,##0_ ;\-#,##0\ "/>
    <numFmt numFmtId="168" formatCode="#,##0.00_ ;\-#,##0.00\ "/>
    <numFmt numFmtId="169" formatCode="_-[$$-1009]* #,##0.00_-;\-[$$-1009]* #,##0.00_-;_-[$$-1009]*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2"/>
      <color theme="1"/>
      <name val="Calibri"/>
      <family val="2"/>
    </font>
  </fonts>
  <fills count="7">
    <fill>
      <patternFill patternType="none"/>
    </fill>
    <fill>
      <patternFill patternType="gray125"/>
    </fill>
    <fill>
      <patternFill patternType="solid">
        <fgColor theme="8" tint="0.79998168889431442"/>
        <bgColor indexed="64"/>
      </patternFill>
    </fill>
    <fill>
      <patternFill patternType="solid">
        <fgColor indexed="9"/>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79998168889431442"/>
        <bgColor indexed="64"/>
      </patternFill>
    </fill>
  </fills>
  <borders count="22">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alignment vertical="top"/>
    </xf>
  </cellStyleXfs>
  <cellXfs count="69">
    <xf numFmtId="0" fontId="0" fillId="0" borderId="0" xfId="0"/>
    <xf numFmtId="0" fontId="2" fillId="0" borderId="0" xfId="0" applyFont="1"/>
    <xf numFmtId="165" fontId="0" fillId="0" borderId="0" xfId="1" applyFont="1"/>
    <xf numFmtId="165" fontId="0" fillId="0" borderId="0" xfId="0" applyNumberFormat="1"/>
    <xf numFmtId="10" fontId="0" fillId="0" borderId="0" xfId="2" applyNumberFormat="1" applyFont="1"/>
    <xf numFmtId="165" fontId="0" fillId="0" borderId="2" xfId="1" applyFont="1" applyBorder="1"/>
    <xf numFmtId="0" fontId="4" fillId="3" borderId="3" xfId="0" applyFont="1" applyFill="1" applyBorder="1"/>
    <xf numFmtId="10" fontId="4" fillId="4" borderId="3" xfId="2" applyNumberFormat="1" applyFont="1" applyFill="1" applyBorder="1" applyAlignment="1"/>
    <xf numFmtId="165" fontId="0" fillId="0" borderId="5" xfId="1" applyFont="1" applyBorder="1"/>
    <xf numFmtId="165" fontId="0" fillId="0" borderId="7" xfId="1" applyFont="1" applyBorder="1"/>
    <xf numFmtId="0" fontId="4" fillId="2" borderId="3" xfId="0" applyFont="1" applyFill="1" applyBorder="1"/>
    <xf numFmtId="2" fontId="2" fillId="4" borderId="0" xfId="2" applyNumberFormat="1" applyFont="1" applyFill="1"/>
    <xf numFmtId="2" fontId="4" fillId="4" borderId="3" xfId="2" applyNumberFormat="1" applyFont="1" applyFill="1" applyBorder="1" applyAlignment="1"/>
    <xf numFmtId="9" fontId="0" fillId="0" borderId="0" xfId="0" applyNumberFormat="1"/>
    <xf numFmtId="10" fontId="0" fillId="0" borderId="0" xfId="0" applyNumberFormat="1"/>
    <xf numFmtId="6" fontId="0" fillId="0" borderId="0" xfId="0" applyNumberFormat="1"/>
    <xf numFmtId="8" fontId="0" fillId="0" borderId="0" xfId="0" applyNumberFormat="1"/>
    <xf numFmtId="8" fontId="2" fillId="0" borderId="0" xfId="0" applyNumberFormat="1" applyFont="1"/>
    <xf numFmtId="0" fontId="0" fillId="5" borderId="0" xfId="0" applyFill="1"/>
    <xf numFmtId="3" fontId="0" fillId="0" borderId="0" xfId="0" applyNumberFormat="1"/>
    <xf numFmtId="165" fontId="0" fillId="0" borderId="0" xfId="1" applyFont="1" applyAlignment="1">
      <alignment horizontal="center"/>
    </xf>
    <xf numFmtId="0" fontId="0" fillId="0" borderId="0" xfId="0" applyAlignment="1">
      <alignment horizontal="center"/>
    </xf>
    <xf numFmtId="166" fontId="0" fillId="0" borderId="0" xfId="1" applyNumberFormat="1" applyFont="1" applyAlignment="1">
      <alignment horizontal="center"/>
    </xf>
    <xf numFmtId="165" fontId="0" fillId="5" borderId="0" xfId="0" applyNumberFormat="1" applyFill="1"/>
    <xf numFmtId="164" fontId="0" fillId="0" borderId="0" xfId="0" applyNumberFormat="1"/>
    <xf numFmtId="2" fontId="0" fillId="0" borderId="0" xfId="0" applyNumberFormat="1"/>
    <xf numFmtId="0" fontId="0" fillId="0" borderId="3" xfId="0" applyBorder="1"/>
    <xf numFmtId="3" fontId="0" fillId="0" borderId="3" xfId="0" applyNumberFormat="1" applyBorder="1"/>
    <xf numFmtId="165" fontId="0" fillId="0" borderId="3" xfId="1" applyFont="1" applyBorder="1"/>
    <xf numFmtId="9" fontId="0" fillId="0" borderId="3" xfId="0" applyNumberFormat="1" applyBorder="1"/>
    <xf numFmtId="0" fontId="3" fillId="6" borderId="1" xfId="0" applyFont="1" applyFill="1" applyBorder="1"/>
    <xf numFmtId="0" fontId="3" fillId="6" borderId="4" xfId="0" applyFont="1" applyFill="1" applyBorder="1"/>
    <xf numFmtId="0" fontId="3" fillId="6" borderId="6" xfId="0" applyFont="1" applyFill="1" applyBorder="1"/>
    <xf numFmtId="6" fontId="0" fillId="0" borderId="8" xfId="0" applyNumberFormat="1" applyBorder="1"/>
    <xf numFmtId="0" fontId="2" fillId="0" borderId="0" xfId="0" applyFont="1" applyAlignment="1">
      <alignment horizontal="center"/>
    </xf>
    <xf numFmtId="165" fontId="0" fillId="0" borderId="8" xfId="1" applyFont="1" applyBorder="1"/>
    <xf numFmtId="165" fontId="0" fillId="0" borderId="8" xfId="0" applyNumberFormat="1" applyBorder="1"/>
    <xf numFmtId="8" fontId="0" fillId="0" borderId="8" xfId="0" applyNumberFormat="1" applyBorder="1"/>
    <xf numFmtId="165" fontId="0" fillId="0" borderId="9" xfId="0" applyNumberFormat="1" applyBorder="1"/>
    <xf numFmtId="8" fontId="0" fillId="0" borderId="10" xfId="0" applyNumberFormat="1" applyBorder="1"/>
    <xf numFmtId="165" fontId="0" fillId="0" borderId="11" xfId="0" applyNumberFormat="1" applyBorder="1"/>
    <xf numFmtId="164" fontId="0" fillId="0" borderId="11" xfId="0" applyNumberFormat="1" applyBorder="1"/>
    <xf numFmtId="0" fontId="5" fillId="0" borderId="0" xfId="0" applyFont="1" applyAlignment="1">
      <alignment horizontal="left" vertical="center"/>
    </xf>
    <xf numFmtId="0" fontId="0" fillId="0" borderId="8" xfId="0" applyBorder="1"/>
    <xf numFmtId="168" fontId="0" fillId="2" borderId="0" xfId="1" applyNumberFormat="1" applyFont="1" applyFill="1"/>
    <xf numFmtId="0" fontId="2" fillId="0" borderId="12" xfId="0" applyFont="1" applyBorder="1"/>
    <xf numFmtId="0" fontId="0" fillId="0" borderId="13" xfId="0" applyBorder="1"/>
    <xf numFmtId="0" fontId="0" fillId="0" borderId="15" xfId="0" applyBorder="1"/>
    <xf numFmtId="0" fontId="0" fillId="0" borderId="17" xfId="0" applyBorder="1"/>
    <xf numFmtId="167" fontId="0" fillId="0" borderId="0" xfId="1" applyNumberFormat="1" applyFont="1" applyFill="1"/>
    <xf numFmtId="165" fontId="0" fillId="2" borderId="0" xfId="0" applyNumberFormat="1" applyFill="1"/>
    <xf numFmtId="169" fontId="0" fillId="0" borderId="0" xfId="0" applyNumberFormat="1"/>
    <xf numFmtId="0" fontId="0" fillId="0" borderId="0" xfId="0" applyAlignment="1">
      <alignment horizontal="right"/>
    </xf>
    <xf numFmtId="9" fontId="0" fillId="5" borderId="0" xfId="0" applyNumberFormat="1" applyFill="1"/>
    <xf numFmtId="168" fontId="0" fillId="0" borderId="0" xfId="0" applyNumberFormat="1"/>
    <xf numFmtId="165" fontId="0" fillId="2" borderId="14" xfId="1" applyFont="1" applyFill="1" applyBorder="1"/>
    <xf numFmtId="165" fontId="0" fillId="0" borderId="16" xfId="1" applyFont="1" applyBorder="1"/>
    <xf numFmtId="167" fontId="0" fillId="0" borderId="16" xfId="1" applyNumberFormat="1" applyFont="1" applyBorder="1"/>
    <xf numFmtId="0" fontId="0" fillId="0" borderId="18" xfId="0" applyBorder="1"/>
    <xf numFmtId="167" fontId="0" fillId="0" borderId="19" xfId="1" applyNumberFormat="1" applyFont="1" applyBorder="1"/>
    <xf numFmtId="0" fontId="0" fillId="0" borderId="12" xfId="0" applyBorder="1"/>
    <xf numFmtId="165" fontId="0" fillId="0" borderId="14" xfId="1" applyFont="1" applyBorder="1"/>
    <xf numFmtId="165" fontId="0" fillId="0" borderId="19" xfId="1" applyFont="1" applyBorder="1"/>
    <xf numFmtId="165" fontId="0" fillId="0" borderId="14" xfId="0" applyNumberFormat="1" applyBorder="1"/>
    <xf numFmtId="165" fontId="0" fillId="2" borderId="19" xfId="1" applyFont="1" applyFill="1" applyBorder="1"/>
    <xf numFmtId="0" fontId="0" fillId="0" borderId="0" xfId="0" applyAlignment="1">
      <alignment wrapText="1"/>
    </xf>
    <xf numFmtId="165" fontId="0" fillId="0" borderId="20" xfId="1" applyFont="1" applyBorder="1"/>
    <xf numFmtId="165" fontId="0" fillId="0" borderId="21" xfId="1" applyFont="1" applyBorder="1"/>
    <xf numFmtId="9" fontId="4" fillId="4" borderId="3" xfId="2" applyFont="1" applyFill="1" applyBorder="1" applyAlignment="1"/>
  </cellXfs>
  <cellStyles count="4">
    <cellStyle name="Currency" xfId="1" builtinId="4"/>
    <cellStyle name="Normal" xfId="0" builtinId="0"/>
    <cellStyle name="Normal 2" xfId="3" xr:uid="{3C3F7800-A7C3-4C1C-B1E8-6BD0E745E3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AA26-5113-4B33-BABE-99B059F66B81}">
  <sheetPr>
    <pageSetUpPr fitToPage="1"/>
  </sheetPr>
  <dimension ref="A1:I40"/>
  <sheetViews>
    <sheetView zoomScale="160" zoomScaleNormal="160" workbookViewId="0">
      <selection activeCell="C7" sqref="C7"/>
    </sheetView>
  </sheetViews>
  <sheetFormatPr baseColWidth="10" defaultColWidth="8.83203125" defaultRowHeight="15" x14ac:dyDescent="0.2"/>
  <cols>
    <col min="2" max="2" width="37.6640625" bestFit="1" customWidth="1"/>
    <col min="3" max="3" width="15.6640625" bestFit="1" customWidth="1"/>
    <col min="4" max="4" width="12.33203125" bestFit="1" customWidth="1"/>
    <col min="9" max="9" width="12.6640625" bestFit="1" customWidth="1"/>
  </cols>
  <sheetData>
    <row r="1" spans="1:9" ht="16" x14ac:dyDescent="0.2">
      <c r="A1" s="42" t="s">
        <v>0</v>
      </c>
      <c r="C1" s="2"/>
    </row>
    <row r="2" spans="1:9" x14ac:dyDescent="0.2">
      <c r="B2" t="s">
        <v>1</v>
      </c>
      <c r="C2" s="2">
        <v>200</v>
      </c>
    </row>
    <row r="3" spans="1:9" x14ac:dyDescent="0.2">
      <c r="B3" t="s">
        <v>2</v>
      </c>
      <c r="C3" s="2">
        <v>95</v>
      </c>
    </row>
    <row r="4" spans="1:9" x14ac:dyDescent="0.2">
      <c r="B4" s="43" t="s">
        <v>3</v>
      </c>
      <c r="C4" s="35">
        <v>11</v>
      </c>
    </row>
    <row r="5" spans="1:9" x14ac:dyDescent="0.2">
      <c r="B5" t="s">
        <v>4</v>
      </c>
      <c r="C5" s="2">
        <f>C2-C3-C4</f>
        <v>94</v>
      </c>
    </row>
    <row r="6" spans="1:9" x14ac:dyDescent="0.2">
      <c r="C6" s="2"/>
    </row>
    <row r="7" spans="1:9" x14ac:dyDescent="0.2">
      <c r="C7" s="3"/>
    </row>
    <row r="8" spans="1:9" x14ac:dyDescent="0.2">
      <c r="B8" t="s">
        <v>5</v>
      </c>
      <c r="C8" s="2">
        <v>550000</v>
      </c>
    </row>
    <row r="9" spans="1:9" x14ac:dyDescent="0.2">
      <c r="C9" s="2"/>
    </row>
    <row r="10" spans="1:9" x14ac:dyDescent="0.2">
      <c r="B10" t="s">
        <v>6</v>
      </c>
      <c r="C10" s="44">
        <f>C8/C5</f>
        <v>5851.0638297872338</v>
      </c>
    </row>
    <row r="11" spans="1:9" x14ac:dyDescent="0.2">
      <c r="B11" t="s">
        <v>7</v>
      </c>
      <c r="C11" s="2">
        <f>C10*C2</f>
        <v>1170212.7659574468</v>
      </c>
    </row>
    <row r="12" spans="1:9" x14ac:dyDescent="0.2">
      <c r="C12" s="2"/>
    </row>
    <row r="13" spans="1:9" ht="16" x14ac:dyDescent="0.2">
      <c r="A13" s="42" t="s">
        <v>8</v>
      </c>
      <c r="C13" s="2"/>
    </row>
    <row r="14" spans="1:9" x14ac:dyDescent="0.2">
      <c r="B14" t="s">
        <v>9</v>
      </c>
      <c r="C14" s="2">
        <f>C5</f>
        <v>94</v>
      </c>
      <c r="F14" t="s">
        <v>10</v>
      </c>
      <c r="I14" s="51"/>
    </row>
    <row r="15" spans="1:9" x14ac:dyDescent="0.2">
      <c r="A15" s="52" t="s">
        <v>11</v>
      </c>
      <c r="B15" t="s">
        <v>12</v>
      </c>
      <c r="C15" s="2">
        <v>15</v>
      </c>
      <c r="I15" s="51"/>
    </row>
    <row r="16" spans="1:9" x14ac:dyDescent="0.2">
      <c r="A16" s="52" t="s">
        <v>11</v>
      </c>
      <c r="B16" t="s">
        <v>13</v>
      </c>
      <c r="C16" s="2">
        <f>D16*C2</f>
        <v>6</v>
      </c>
      <c r="D16" s="53">
        <v>0.03</v>
      </c>
      <c r="F16" t="s">
        <v>14</v>
      </c>
      <c r="I16" s="14">
        <v>0.03</v>
      </c>
    </row>
    <row r="17" spans="1:9" x14ac:dyDescent="0.2">
      <c r="B17" t="s">
        <v>15</v>
      </c>
      <c r="C17" s="2">
        <f>C14-C15-C16</f>
        <v>73</v>
      </c>
      <c r="F17" t="s">
        <v>16</v>
      </c>
      <c r="I17" s="14">
        <v>2</v>
      </c>
    </row>
    <row r="18" spans="1:9" x14ac:dyDescent="0.2">
      <c r="B18" t="s">
        <v>17</v>
      </c>
      <c r="C18" s="44">
        <f>C8/C17</f>
        <v>7534.2465753424658</v>
      </c>
      <c r="F18" t="s">
        <v>18</v>
      </c>
      <c r="I18" s="54">
        <v>10679.611650485436</v>
      </c>
    </row>
    <row r="19" spans="1:9" ht="16" thickBot="1" x14ac:dyDescent="0.25">
      <c r="C19" s="49"/>
      <c r="F19" t="s">
        <v>19</v>
      </c>
      <c r="I19" s="51">
        <v>6</v>
      </c>
    </row>
    <row r="20" spans="1:9" x14ac:dyDescent="0.2">
      <c r="A20" s="45" t="s">
        <v>20</v>
      </c>
      <c r="B20" s="46"/>
      <c r="C20" s="55" t="s">
        <v>21</v>
      </c>
      <c r="F20" t="s">
        <v>22</v>
      </c>
      <c r="I20" s="51">
        <v>103</v>
      </c>
    </row>
    <row r="21" spans="1:9" x14ac:dyDescent="0.2">
      <c r="A21" s="47" t="s">
        <v>23</v>
      </c>
      <c r="C21" s="56"/>
      <c r="F21" t="s">
        <v>24</v>
      </c>
      <c r="I21" s="51">
        <v>103</v>
      </c>
    </row>
    <row r="22" spans="1:9" x14ac:dyDescent="0.2">
      <c r="A22" s="47"/>
      <c r="C22" s="56"/>
      <c r="F22" t="s">
        <v>25</v>
      </c>
      <c r="I22" s="51">
        <v>97</v>
      </c>
    </row>
    <row r="23" spans="1:9" x14ac:dyDescent="0.2">
      <c r="A23" s="47"/>
      <c r="B23" t="s">
        <v>26</v>
      </c>
      <c r="C23" s="57">
        <f>C10*2</f>
        <v>11702.127659574468</v>
      </c>
      <c r="I23" s="51"/>
    </row>
    <row r="24" spans="1:9" ht="16" thickBot="1" x14ac:dyDescent="0.25">
      <c r="A24" s="48"/>
      <c r="B24" s="58" t="s">
        <v>27</v>
      </c>
      <c r="C24" s="59">
        <f>C23-C10</f>
        <v>5851.0638297872338</v>
      </c>
      <c r="F24" t="s">
        <v>28</v>
      </c>
      <c r="I24" s="51">
        <v>10</v>
      </c>
    </row>
    <row r="25" spans="1:9" x14ac:dyDescent="0.2">
      <c r="A25" s="60"/>
      <c r="B25" s="46" t="s">
        <v>29</v>
      </c>
      <c r="C25" s="61">
        <f>C2*C10</f>
        <v>1170212.7659574468</v>
      </c>
      <c r="F25" t="s">
        <v>30</v>
      </c>
      <c r="I25" s="51">
        <v>106796.11650485436</v>
      </c>
    </row>
    <row r="26" spans="1:9" x14ac:dyDescent="0.2">
      <c r="A26" s="47"/>
      <c r="B26" t="s">
        <v>31</v>
      </c>
      <c r="C26" s="56">
        <f>C23*C2</f>
        <v>2340425.5319148935</v>
      </c>
      <c r="F26" t="s">
        <v>32</v>
      </c>
      <c r="I26" s="51">
        <v>656796.11650485441</v>
      </c>
    </row>
    <row r="27" spans="1:9" ht="16" thickBot="1" x14ac:dyDescent="0.25">
      <c r="A27" s="48"/>
      <c r="B27" s="58" t="s">
        <v>33</v>
      </c>
      <c r="C27" s="62">
        <f>C26-C25</f>
        <v>1170212.7659574468</v>
      </c>
      <c r="I27" s="51"/>
    </row>
    <row r="28" spans="1:9" x14ac:dyDescent="0.2">
      <c r="A28" s="60"/>
      <c r="B28" s="46" t="s">
        <v>34</v>
      </c>
      <c r="C28" s="63">
        <f>C10*C5</f>
        <v>550000</v>
      </c>
      <c r="F28" t="s">
        <v>35</v>
      </c>
      <c r="I28" s="54">
        <v>6771.0939845861303</v>
      </c>
    </row>
    <row r="29" spans="1:9" x14ac:dyDescent="0.2">
      <c r="A29" s="47"/>
      <c r="B29" t="s">
        <v>36</v>
      </c>
      <c r="C29" s="56">
        <f>C23*C17</f>
        <v>854255.31914893608</v>
      </c>
    </row>
    <row r="30" spans="1:9" ht="16" thickBot="1" x14ac:dyDescent="0.25">
      <c r="A30" s="48"/>
      <c r="B30" s="58" t="s">
        <v>37</v>
      </c>
      <c r="C30" s="64">
        <f>C29-C28</f>
        <v>304255.31914893608</v>
      </c>
      <c r="D30" s="2"/>
    </row>
    <row r="32" spans="1:9" hidden="1" x14ac:dyDescent="0.2">
      <c r="A32" t="s">
        <v>38</v>
      </c>
    </row>
    <row r="33" spans="1:3" hidden="1" x14ac:dyDescent="0.2">
      <c r="B33" t="s">
        <v>39</v>
      </c>
      <c r="C33" s="3">
        <f>C17</f>
        <v>73</v>
      </c>
    </row>
    <row r="34" spans="1:3" ht="43.25" hidden="1" customHeight="1" x14ac:dyDescent="0.2">
      <c r="B34" s="65" t="s">
        <v>40</v>
      </c>
      <c r="C34" s="3">
        <f>C33*2</f>
        <v>146</v>
      </c>
    </row>
    <row r="35" spans="1:3" hidden="1" x14ac:dyDescent="0.2">
      <c r="B35" t="s">
        <v>41</v>
      </c>
      <c r="C35" s="3">
        <f>C5</f>
        <v>94</v>
      </c>
    </row>
    <row r="36" spans="1:3" hidden="1" x14ac:dyDescent="0.2">
      <c r="B36" t="s">
        <v>42</v>
      </c>
      <c r="C36" s="50">
        <f>C34-C35</f>
        <v>52</v>
      </c>
    </row>
    <row r="37" spans="1:3" hidden="1" x14ac:dyDescent="0.2"/>
    <row r="38" spans="1:3" hidden="1" x14ac:dyDescent="0.2">
      <c r="A38" t="s">
        <v>43</v>
      </c>
    </row>
    <row r="39" spans="1:3" hidden="1" x14ac:dyDescent="0.2">
      <c r="B39" t="s">
        <v>44</v>
      </c>
      <c r="C39" s="3">
        <f>C33-C35</f>
        <v>-21</v>
      </c>
    </row>
    <row r="40" spans="1:3" ht="38.75" hidden="1" customHeight="1" x14ac:dyDescent="0.2">
      <c r="B40" s="65" t="s">
        <v>45</v>
      </c>
      <c r="C40" s="3">
        <f>C33</f>
        <v>73</v>
      </c>
    </row>
  </sheetData>
  <pageMargins left="0.7" right="0.7" top="0.75" bottom="0.75" header="0.3" footer="0.3"/>
  <pageSetup scale="73"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E089-5E81-46B8-A5BF-742B0D27F677}">
  <sheetPr>
    <pageSetUpPr fitToPage="1"/>
  </sheetPr>
  <dimension ref="B2:N40"/>
  <sheetViews>
    <sheetView workbookViewId="0">
      <selection activeCell="L23" sqref="L23"/>
    </sheetView>
  </sheetViews>
  <sheetFormatPr baseColWidth="10" defaultColWidth="8.6640625" defaultRowHeight="15" x14ac:dyDescent="0.2"/>
  <cols>
    <col min="1" max="1" width="5.1640625" customWidth="1"/>
    <col min="2" max="2" width="27.33203125" customWidth="1"/>
    <col min="3" max="3" width="12.33203125" bestFit="1" customWidth="1"/>
    <col min="4" max="4" width="8.6640625" hidden="1" customWidth="1"/>
    <col min="5" max="5" width="9.1640625" hidden="1" customWidth="1"/>
    <col min="6" max="6" width="8.6640625" hidden="1" customWidth="1"/>
    <col min="7" max="7" width="0" hidden="1" customWidth="1"/>
    <col min="8" max="8" width="25.1640625" customWidth="1"/>
    <col min="9" max="9" width="4.33203125" customWidth="1"/>
    <col min="10" max="10" width="11.6640625" bestFit="1" customWidth="1"/>
    <col min="11" max="11" width="16.5" bestFit="1" customWidth="1"/>
    <col min="12" max="12" width="13.33203125" bestFit="1" customWidth="1"/>
    <col min="13" max="13" width="11.33203125" bestFit="1" customWidth="1"/>
    <col min="14" max="14" width="15.5" bestFit="1" customWidth="1"/>
  </cols>
  <sheetData>
    <row r="2" spans="2:14" x14ac:dyDescent="0.2">
      <c r="B2" t="s">
        <v>46</v>
      </c>
    </row>
    <row r="3" spans="2:14" x14ac:dyDescent="0.2">
      <c r="B3" t="s">
        <v>47</v>
      </c>
      <c r="C3" s="13">
        <v>0.16</v>
      </c>
      <c r="H3" s="1" t="s">
        <v>48</v>
      </c>
      <c r="J3" s="34" t="s">
        <v>49</v>
      </c>
      <c r="K3" s="34" t="s">
        <v>50</v>
      </c>
      <c r="L3" s="34" t="s">
        <v>51</v>
      </c>
      <c r="M3" s="34" t="s">
        <v>52</v>
      </c>
      <c r="N3" s="34" t="s">
        <v>53</v>
      </c>
    </row>
    <row r="4" spans="2:14" x14ac:dyDescent="0.2">
      <c r="B4" t="s">
        <v>54</v>
      </c>
      <c r="C4" s="14">
        <v>0.255</v>
      </c>
      <c r="H4" t="s">
        <v>55</v>
      </c>
      <c r="J4" s="2">
        <v>50000</v>
      </c>
      <c r="K4" s="2">
        <v>50000</v>
      </c>
      <c r="L4" s="2">
        <v>50000</v>
      </c>
      <c r="M4" s="2">
        <v>50000</v>
      </c>
      <c r="N4" s="2">
        <v>50000</v>
      </c>
    </row>
    <row r="5" spans="2:14" x14ac:dyDescent="0.2">
      <c r="H5" t="s">
        <v>56</v>
      </c>
      <c r="J5" s="33">
        <v>-30000</v>
      </c>
      <c r="K5" s="33">
        <v>-30000</v>
      </c>
      <c r="L5" s="33">
        <v>-30000</v>
      </c>
      <c r="M5" s="33">
        <v>-30000</v>
      </c>
      <c r="N5" s="33">
        <v>-30000</v>
      </c>
    </row>
    <row r="6" spans="2:14" x14ac:dyDescent="0.2">
      <c r="B6" t="s">
        <v>57</v>
      </c>
      <c r="H6" t="s">
        <v>58</v>
      </c>
      <c r="J6" s="3">
        <f>SUM(J4:J5)</f>
        <v>20000</v>
      </c>
      <c r="K6" s="3">
        <f t="shared" ref="K6:N6" si="0">SUM(K4:K5)</f>
        <v>20000</v>
      </c>
      <c r="L6" s="3">
        <f t="shared" si="0"/>
        <v>20000</v>
      </c>
      <c r="M6" s="3">
        <f t="shared" si="0"/>
        <v>20000</v>
      </c>
      <c r="N6" s="3">
        <f t="shared" si="0"/>
        <v>20000</v>
      </c>
    </row>
    <row r="7" spans="2:14" x14ac:dyDescent="0.2">
      <c r="B7" t="s">
        <v>59</v>
      </c>
      <c r="C7" s="2">
        <v>125000</v>
      </c>
      <c r="E7" s="15"/>
      <c r="H7" t="s">
        <v>60</v>
      </c>
      <c r="J7" s="36">
        <f>-J6*$C$4</f>
        <v>-5100</v>
      </c>
      <c r="K7" s="36">
        <f t="shared" ref="K7:N7" si="1">-K6*$C$4</f>
        <v>-5100</v>
      </c>
      <c r="L7" s="36">
        <f t="shared" si="1"/>
        <v>-5100</v>
      </c>
      <c r="M7" s="36">
        <f t="shared" si="1"/>
        <v>-5100</v>
      </c>
      <c r="N7" s="36">
        <f t="shared" si="1"/>
        <v>-5100</v>
      </c>
    </row>
    <row r="8" spans="2:14" ht="16" thickBot="1" x14ac:dyDescent="0.25">
      <c r="B8" t="s">
        <v>61</v>
      </c>
      <c r="C8">
        <v>5</v>
      </c>
      <c r="H8" t="s">
        <v>62</v>
      </c>
      <c r="I8" s="14"/>
      <c r="J8" s="39">
        <f>SUM(J6:J7)</f>
        <v>14900</v>
      </c>
      <c r="K8" s="39">
        <f t="shared" ref="K8:N8" si="2">SUM(K6:K7)</f>
        <v>14900</v>
      </c>
      <c r="L8" s="39">
        <f t="shared" si="2"/>
        <v>14900</v>
      </c>
      <c r="M8" s="39">
        <f t="shared" si="2"/>
        <v>14900</v>
      </c>
      <c r="N8" s="39">
        <f t="shared" si="2"/>
        <v>14900</v>
      </c>
    </row>
    <row r="9" spans="2:14" ht="16" thickTop="1" x14ac:dyDescent="0.2">
      <c r="B9" t="s">
        <v>63</v>
      </c>
      <c r="C9" s="15">
        <v>30000</v>
      </c>
      <c r="J9" s="15"/>
      <c r="K9" s="15"/>
      <c r="L9" s="15"/>
      <c r="M9" s="15"/>
      <c r="N9" s="15"/>
    </row>
    <row r="10" spans="2:14" x14ac:dyDescent="0.2">
      <c r="H10" s="1" t="s">
        <v>64</v>
      </c>
      <c r="J10" s="24">
        <f>NPV(C3,J8:N8)</f>
        <v>48786.975439552414</v>
      </c>
    </row>
    <row r="12" spans="2:14" x14ac:dyDescent="0.2">
      <c r="B12" t="s">
        <v>65</v>
      </c>
      <c r="C12" s="15">
        <v>125000</v>
      </c>
      <c r="H12" s="1" t="s">
        <v>66</v>
      </c>
      <c r="K12" s="1" t="s">
        <v>67</v>
      </c>
      <c r="L12" s="1" t="s">
        <v>68</v>
      </c>
      <c r="M12" s="1" t="s">
        <v>69</v>
      </c>
      <c r="N12" s="1" t="s">
        <v>70</v>
      </c>
    </row>
    <row r="13" spans="2:14" x14ac:dyDescent="0.2">
      <c r="B13" t="s">
        <v>71</v>
      </c>
      <c r="C13" s="15">
        <v>25000</v>
      </c>
      <c r="J13" t="s">
        <v>72</v>
      </c>
      <c r="N13" s="15">
        <v>125000</v>
      </c>
    </row>
    <row r="14" spans="2:14" x14ac:dyDescent="0.2">
      <c r="B14" t="s">
        <v>73</v>
      </c>
      <c r="C14" s="13">
        <v>1</v>
      </c>
      <c r="J14" t="s">
        <v>49</v>
      </c>
      <c r="K14" s="15">
        <f>N13</f>
        <v>125000</v>
      </c>
      <c r="L14" s="15">
        <f>K14*C15</f>
        <v>10000</v>
      </c>
      <c r="M14" s="16">
        <f>PMT($C$15,5,$N$13,0)</f>
        <v>-31307.056820854574</v>
      </c>
      <c r="N14" s="16">
        <f>K14+L14+M14</f>
        <v>103692.94317914543</v>
      </c>
    </row>
    <row r="15" spans="2:14" x14ac:dyDescent="0.2">
      <c r="B15" t="s">
        <v>74</v>
      </c>
      <c r="C15" s="13">
        <v>0.08</v>
      </c>
      <c r="J15" t="s">
        <v>50</v>
      </c>
      <c r="K15" s="16">
        <f>N14</f>
        <v>103692.94317914543</v>
      </c>
      <c r="L15" s="16">
        <f>K15*$C$15</f>
        <v>8295.4354543316349</v>
      </c>
      <c r="M15" s="16">
        <f>PMT($C$15,5,$N$13,0)</f>
        <v>-31307.056820854574</v>
      </c>
      <c r="N15" s="16">
        <f>K15+L15+M15</f>
        <v>80681.321812622482</v>
      </c>
    </row>
    <row r="16" spans="2:14" x14ac:dyDescent="0.2">
      <c r="B16" t="s">
        <v>75</v>
      </c>
      <c r="C16">
        <v>5</v>
      </c>
      <c r="J16" t="s">
        <v>51</v>
      </c>
      <c r="K16" s="16">
        <f t="shared" ref="K16:K18" si="3">N15</f>
        <v>80681.321812622482</v>
      </c>
      <c r="L16" s="16">
        <f>K16*$C$15</f>
        <v>6454.5057450097984</v>
      </c>
      <c r="M16" s="16">
        <f>PMT($C$15,5,$N$13,0)</f>
        <v>-31307.056820854574</v>
      </c>
      <c r="N16" s="16">
        <f t="shared" ref="N16:N18" si="4">K16+L16+M16</f>
        <v>55828.770736777704</v>
      </c>
    </row>
    <row r="17" spans="8:14" x14ac:dyDescent="0.2">
      <c r="J17" t="s">
        <v>52</v>
      </c>
      <c r="K17" s="16">
        <f t="shared" si="3"/>
        <v>55828.770736777704</v>
      </c>
      <c r="L17" s="16">
        <f>K17*$C$15</f>
        <v>4466.3016589422168</v>
      </c>
      <c r="M17" s="16">
        <f>PMT($C$15,5,$N$13,0)</f>
        <v>-31307.056820854574</v>
      </c>
      <c r="N17" s="16">
        <f t="shared" si="4"/>
        <v>28988.015574865349</v>
      </c>
    </row>
    <row r="18" spans="8:14" x14ac:dyDescent="0.2">
      <c r="J18" t="s">
        <v>53</v>
      </c>
      <c r="K18" s="16">
        <f t="shared" si="3"/>
        <v>28988.015574865349</v>
      </c>
      <c r="L18" s="16">
        <f>K18*$C$15</f>
        <v>2319.0412459892282</v>
      </c>
      <c r="M18" s="16">
        <f>PMT($C$15,5,$N$13,0)</f>
        <v>-31307.056820854574</v>
      </c>
      <c r="N18" s="16">
        <f t="shared" si="4"/>
        <v>0</v>
      </c>
    </row>
    <row r="20" spans="8:14" x14ac:dyDescent="0.2">
      <c r="K20" s="1" t="s">
        <v>67</v>
      </c>
      <c r="L20" s="1" t="s">
        <v>76</v>
      </c>
      <c r="M20" s="1" t="s">
        <v>77</v>
      </c>
    </row>
    <row r="21" spans="8:14" x14ac:dyDescent="0.2">
      <c r="J21" t="s">
        <v>72</v>
      </c>
      <c r="M21" s="15">
        <f>N13</f>
        <v>125000</v>
      </c>
    </row>
    <row r="22" spans="8:14" x14ac:dyDescent="0.2">
      <c r="J22" t="s">
        <v>49</v>
      </c>
      <c r="K22" s="15">
        <f>M21</f>
        <v>125000</v>
      </c>
      <c r="L22" s="15">
        <f>$M$21/5</f>
        <v>25000</v>
      </c>
      <c r="M22" s="15">
        <f>K22-L22</f>
        <v>100000</v>
      </c>
    </row>
    <row r="23" spans="8:14" x14ac:dyDescent="0.2">
      <c r="J23" t="s">
        <v>50</v>
      </c>
      <c r="K23" s="15">
        <f>M22</f>
        <v>100000</v>
      </c>
      <c r="L23" s="15">
        <f>$M$21/5</f>
        <v>25000</v>
      </c>
      <c r="M23" s="15">
        <f t="shared" ref="M23:M26" si="5">K23-L23</f>
        <v>75000</v>
      </c>
    </row>
    <row r="24" spans="8:14" x14ac:dyDescent="0.2">
      <c r="J24" t="s">
        <v>51</v>
      </c>
      <c r="K24" s="15">
        <f t="shared" ref="K24:K26" si="6">M23</f>
        <v>75000</v>
      </c>
      <c r="L24" s="15">
        <f>$M$21/5</f>
        <v>25000</v>
      </c>
      <c r="M24" s="15">
        <f t="shared" si="5"/>
        <v>50000</v>
      </c>
    </row>
    <row r="25" spans="8:14" x14ac:dyDescent="0.2">
      <c r="J25" t="s">
        <v>52</v>
      </c>
      <c r="K25" s="15">
        <f t="shared" si="6"/>
        <v>50000</v>
      </c>
      <c r="L25" s="15">
        <f>$M$21/5</f>
        <v>25000</v>
      </c>
      <c r="M25" s="15">
        <f t="shared" si="5"/>
        <v>25000</v>
      </c>
    </row>
    <row r="26" spans="8:14" x14ac:dyDescent="0.2">
      <c r="J26" t="s">
        <v>53</v>
      </c>
      <c r="K26" s="15">
        <f t="shared" si="6"/>
        <v>25000</v>
      </c>
      <c r="L26" s="15">
        <f>$M$21/5</f>
        <v>25000</v>
      </c>
      <c r="M26" s="15">
        <f t="shared" si="5"/>
        <v>0</v>
      </c>
    </row>
    <row r="27" spans="8:14" x14ac:dyDescent="0.2">
      <c r="K27" s="13"/>
    </row>
    <row r="28" spans="8:14" x14ac:dyDescent="0.2">
      <c r="J28" s="34" t="s">
        <v>49</v>
      </c>
      <c r="K28" s="34" t="s">
        <v>50</v>
      </c>
      <c r="L28" s="34" t="s">
        <v>51</v>
      </c>
      <c r="M28" s="34" t="s">
        <v>52</v>
      </c>
      <c r="N28" s="34" t="s">
        <v>53</v>
      </c>
    </row>
    <row r="29" spans="8:14" x14ac:dyDescent="0.2">
      <c r="H29" t="s">
        <v>55</v>
      </c>
      <c r="J29" s="2">
        <v>50000</v>
      </c>
      <c r="K29" s="2">
        <v>50000</v>
      </c>
      <c r="L29" s="2">
        <v>50000</v>
      </c>
      <c r="M29" s="2">
        <v>50000</v>
      </c>
      <c r="N29" s="2">
        <v>50000</v>
      </c>
    </row>
    <row r="30" spans="8:14" x14ac:dyDescent="0.2">
      <c r="H30" t="s">
        <v>78</v>
      </c>
      <c r="J30" s="2">
        <f>L22</f>
        <v>25000</v>
      </c>
      <c r="K30" s="2">
        <f>L23</f>
        <v>25000</v>
      </c>
      <c r="L30" s="2">
        <f>L24</f>
        <v>25000</v>
      </c>
      <c r="M30" s="2">
        <f>L25</f>
        <v>25000</v>
      </c>
      <c r="N30" s="2">
        <f>L26</f>
        <v>25000</v>
      </c>
    </row>
    <row r="31" spans="8:14" x14ac:dyDescent="0.2">
      <c r="H31" t="s">
        <v>79</v>
      </c>
      <c r="J31" s="35">
        <f>L14</f>
        <v>10000</v>
      </c>
      <c r="K31" s="35">
        <f>L15</f>
        <v>8295.4354543316349</v>
      </c>
      <c r="L31" s="35">
        <f>L16</f>
        <v>6454.5057450097984</v>
      </c>
      <c r="M31" s="35">
        <f>L17</f>
        <v>4466.3016589422168</v>
      </c>
      <c r="N31" s="35">
        <f>L18</f>
        <v>2319.0412459892282</v>
      </c>
    </row>
    <row r="32" spans="8:14" x14ac:dyDescent="0.2">
      <c r="H32" t="s">
        <v>58</v>
      </c>
      <c r="J32" s="3">
        <f>J29-J30-J31</f>
        <v>15000</v>
      </c>
      <c r="K32" s="3">
        <f t="shared" ref="K32:M32" si="7">K29-K30-K31</f>
        <v>16704.564545668363</v>
      </c>
      <c r="L32" s="3">
        <f t="shared" si="7"/>
        <v>18545.494254990201</v>
      </c>
      <c r="M32" s="3">
        <f t="shared" si="7"/>
        <v>20533.698341057781</v>
      </c>
      <c r="N32" s="3">
        <f>N29-N30-N31</f>
        <v>22680.958754010771</v>
      </c>
    </row>
    <row r="33" spans="8:14" x14ac:dyDescent="0.2">
      <c r="H33" t="s">
        <v>80</v>
      </c>
      <c r="J33" s="36">
        <f>J32*$C$4</f>
        <v>3825</v>
      </c>
      <c r="K33" s="36">
        <f t="shared" ref="K33:M33" si="8">K32*$C$4</f>
        <v>4259.6639591454323</v>
      </c>
      <c r="L33" s="36">
        <f t="shared" si="8"/>
        <v>4729.1010350225015</v>
      </c>
      <c r="M33" s="36">
        <f t="shared" si="8"/>
        <v>5236.0930769697343</v>
      </c>
      <c r="N33" s="36">
        <f>N32*$C$4</f>
        <v>5783.6444822727472</v>
      </c>
    </row>
    <row r="34" spans="8:14" x14ac:dyDescent="0.2">
      <c r="H34" t="s">
        <v>62</v>
      </c>
      <c r="J34" s="3">
        <f>J32-J33</f>
        <v>11175</v>
      </c>
      <c r="K34" s="3">
        <f t="shared" ref="K34:M34" si="9">K32-K33</f>
        <v>12444.90058652293</v>
      </c>
      <c r="L34" s="3">
        <f t="shared" si="9"/>
        <v>13816.3932199677</v>
      </c>
      <c r="M34" s="3">
        <f t="shared" si="9"/>
        <v>15297.605264088048</v>
      </c>
      <c r="N34" s="3">
        <f>N32-N33</f>
        <v>16897.314271738025</v>
      </c>
    </row>
    <row r="35" spans="8:14" x14ac:dyDescent="0.2">
      <c r="H35" t="s">
        <v>81</v>
      </c>
      <c r="J35" s="3">
        <f>J30</f>
        <v>25000</v>
      </c>
      <c r="K35" s="3">
        <f t="shared" ref="K35:N35" si="10">K30</f>
        <v>25000</v>
      </c>
      <c r="L35" s="3">
        <f t="shared" si="10"/>
        <v>25000</v>
      </c>
      <c r="M35" s="3">
        <f t="shared" si="10"/>
        <v>25000</v>
      </c>
      <c r="N35" s="3">
        <f t="shared" si="10"/>
        <v>25000</v>
      </c>
    </row>
    <row r="36" spans="8:14" x14ac:dyDescent="0.2">
      <c r="H36" t="s">
        <v>82</v>
      </c>
      <c r="J36" s="3">
        <f>J31</f>
        <v>10000</v>
      </c>
      <c r="K36" s="3">
        <f t="shared" ref="K36:N36" si="11">K31</f>
        <v>8295.4354543316349</v>
      </c>
      <c r="L36" s="3">
        <f t="shared" si="11"/>
        <v>6454.5057450097984</v>
      </c>
      <c r="M36" s="3">
        <f t="shared" si="11"/>
        <v>4466.3016589422168</v>
      </c>
      <c r="N36" s="3">
        <f t="shared" si="11"/>
        <v>2319.0412459892282</v>
      </c>
    </row>
    <row r="37" spans="8:14" x14ac:dyDescent="0.2">
      <c r="H37" t="s">
        <v>83</v>
      </c>
      <c r="J37" s="37">
        <f>M14</f>
        <v>-31307.056820854574</v>
      </c>
      <c r="K37" s="37">
        <f>M15</f>
        <v>-31307.056820854574</v>
      </c>
      <c r="L37" s="37">
        <f>M16</f>
        <v>-31307.056820854574</v>
      </c>
      <c r="M37" s="37">
        <f>M17</f>
        <v>-31307.056820854574</v>
      </c>
      <c r="N37" s="37">
        <f>M18</f>
        <v>-31307.056820854574</v>
      </c>
    </row>
    <row r="38" spans="8:14" ht="16" thickBot="1" x14ac:dyDescent="0.25">
      <c r="H38" t="s">
        <v>84</v>
      </c>
      <c r="J38" s="38">
        <f>SUM(J34:J37)</f>
        <v>14867.943179145426</v>
      </c>
      <c r="K38" s="38">
        <f t="shared" ref="K38:N38" si="12">SUM(K34:K37)</f>
        <v>14433.279219999989</v>
      </c>
      <c r="L38" s="38">
        <f t="shared" si="12"/>
        <v>13963.842144122922</v>
      </c>
      <c r="M38" s="38">
        <f t="shared" si="12"/>
        <v>13456.850102175697</v>
      </c>
      <c r="N38" s="38">
        <f t="shared" si="12"/>
        <v>12909.298696872676</v>
      </c>
    </row>
    <row r="39" spans="8:14" ht="16" thickTop="1" x14ac:dyDescent="0.2"/>
    <row r="40" spans="8:14" x14ac:dyDescent="0.2">
      <c r="H40" t="s">
        <v>64</v>
      </c>
      <c r="J40" s="24">
        <f>NPV(C3,J38:N38)</f>
        <v>46067.896324484944</v>
      </c>
    </row>
  </sheetData>
  <pageMargins left="0.7" right="0.7" top="0.75" bottom="0.75" header="0.3" footer="0.3"/>
  <pageSetup scale="48"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B721-4545-4BE9-A0DA-61B91C5C33F7}">
  <sheetPr>
    <pageSetUpPr fitToPage="1"/>
  </sheetPr>
  <dimension ref="B2:N40"/>
  <sheetViews>
    <sheetView workbookViewId="0">
      <selection activeCell="M19" sqref="M19"/>
    </sheetView>
  </sheetViews>
  <sheetFormatPr baseColWidth="10" defaultColWidth="8.6640625" defaultRowHeight="15" x14ac:dyDescent="0.2"/>
  <cols>
    <col min="1" max="1" width="5.1640625" customWidth="1"/>
    <col min="2" max="2" width="27.33203125" customWidth="1"/>
    <col min="3" max="3" width="12.33203125" bestFit="1" customWidth="1"/>
    <col min="4" max="4" width="8.6640625" hidden="1" customWidth="1"/>
    <col min="5" max="5" width="9.1640625" hidden="1" customWidth="1"/>
    <col min="6" max="6" width="8.6640625" hidden="1" customWidth="1"/>
    <col min="7" max="7" width="0" hidden="1" customWidth="1"/>
    <col min="8" max="8" width="25.1640625" customWidth="1"/>
    <col min="9" max="9" width="4.33203125" customWidth="1"/>
    <col min="10" max="10" width="11.6640625" bestFit="1" customWidth="1"/>
    <col min="11" max="11" width="16.5" bestFit="1" customWidth="1"/>
    <col min="12" max="12" width="13.33203125" bestFit="1" customWidth="1"/>
    <col min="13" max="13" width="11.33203125" bestFit="1" customWidth="1"/>
    <col min="14" max="14" width="15.5" bestFit="1" customWidth="1"/>
  </cols>
  <sheetData>
    <row r="2" spans="2:14" x14ac:dyDescent="0.2">
      <c r="B2" t="s">
        <v>46</v>
      </c>
    </row>
    <row r="3" spans="2:14" x14ac:dyDescent="0.2">
      <c r="B3" t="s">
        <v>47</v>
      </c>
      <c r="C3" s="13">
        <v>0.16</v>
      </c>
      <c r="H3" s="1" t="s">
        <v>85</v>
      </c>
      <c r="J3" s="34" t="s">
        <v>49</v>
      </c>
      <c r="K3" s="34" t="s">
        <v>50</v>
      </c>
      <c r="L3" s="34" t="s">
        <v>51</v>
      </c>
      <c r="M3" s="34" t="s">
        <v>52</v>
      </c>
      <c r="N3" s="34" t="s">
        <v>53</v>
      </c>
    </row>
    <row r="4" spans="2:14" x14ac:dyDescent="0.2">
      <c r="B4" t="s">
        <v>54</v>
      </c>
      <c r="C4" s="14">
        <v>0.255</v>
      </c>
      <c r="H4" t="s">
        <v>55</v>
      </c>
      <c r="J4" s="2">
        <v>65000</v>
      </c>
      <c r="K4" s="2">
        <v>65000</v>
      </c>
      <c r="L4" s="2">
        <v>65000</v>
      </c>
      <c r="M4" s="2">
        <v>65000</v>
      </c>
      <c r="N4" s="2">
        <v>65000</v>
      </c>
    </row>
    <row r="5" spans="2:14" x14ac:dyDescent="0.2">
      <c r="H5" t="s">
        <v>56</v>
      </c>
      <c r="J5" s="33">
        <v>-42000</v>
      </c>
      <c r="K5" s="33">
        <v>-42000</v>
      </c>
      <c r="L5" s="33">
        <v>-42000</v>
      </c>
      <c r="M5" s="33">
        <v>-42000</v>
      </c>
      <c r="N5" s="33">
        <v>-42000</v>
      </c>
    </row>
    <row r="6" spans="2:14" x14ac:dyDescent="0.2">
      <c r="B6" t="s">
        <v>86</v>
      </c>
      <c r="H6" t="s">
        <v>58</v>
      </c>
      <c r="J6" s="3">
        <f>SUM(J4:J5)</f>
        <v>23000</v>
      </c>
      <c r="K6" s="3">
        <f t="shared" ref="K6:N6" si="0">SUM(K4:K5)</f>
        <v>23000</v>
      </c>
      <c r="L6" s="3">
        <f t="shared" si="0"/>
        <v>23000</v>
      </c>
      <c r="M6" s="3">
        <f t="shared" si="0"/>
        <v>23000</v>
      </c>
      <c r="N6" s="3">
        <f t="shared" si="0"/>
        <v>23000</v>
      </c>
    </row>
    <row r="7" spans="2:14" x14ac:dyDescent="0.2">
      <c r="B7" t="s">
        <v>59</v>
      </c>
      <c r="C7" s="2">
        <v>150000</v>
      </c>
      <c r="E7" s="15"/>
      <c r="H7" t="s">
        <v>60</v>
      </c>
      <c r="J7" s="36">
        <f>-J6*$C$4</f>
        <v>-5865</v>
      </c>
      <c r="K7" s="36">
        <f t="shared" ref="K7:N7" si="1">-K6*$C$4</f>
        <v>-5865</v>
      </c>
      <c r="L7" s="36">
        <f t="shared" si="1"/>
        <v>-5865</v>
      </c>
      <c r="M7" s="36">
        <f t="shared" si="1"/>
        <v>-5865</v>
      </c>
      <c r="N7" s="36">
        <f t="shared" si="1"/>
        <v>-5865</v>
      </c>
    </row>
    <row r="8" spans="2:14" ht="16" thickBot="1" x14ac:dyDescent="0.25">
      <c r="B8" t="s">
        <v>61</v>
      </c>
      <c r="C8">
        <v>5</v>
      </c>
      <c r="H8" t="s">
        <v>87</v>
      </c>
      <c r="I8" s="14"/>
      <c r="J8" s="39">
        <f>SUM(J6:J7)</f>
        <v>17135</v>
      </c>
      <c r="K8" s="39">
        <f t="shared" ref="K8:N8" si="2">SUM(K6:K7)</f>
        <v>17135</v>
      </c>
      <c r="L8" s="39">
        <f t="shared" si="2"/>
        <v>17135</v>
      </c>
      <c r="M8" s="39">
        <f t="shared" si="2"/>
        <v>17135</v>
      </c>
      <c r="N8" s="39">
        <f t="shared" si="2"/>
        <v>17135</v>
      </c>
    </row>
    <row r="9" spans="2:14" ht="16" thickTop="1" x14ac:dyDescent="0.2">
      <c r="B9" t="s">
        <v>63</v>
      </c>
      <c r="C9" s="15">
        <v>30000</v>
      </c>
      <c r="J9" s="15"/>
      <c r="K9" s="15"/>
      <c r="L9" s="15"/>
      <c r="M9" s="15"/>
      <c r="N9" s="15"/>
    </row>
    <row r="10" spans="2:14" x14ac:dyDescent="0.2">
      <c r="B10" t="s">
        <v>88</v>
      </c>
      <c r="C10" s="18"/>
      <c r="H10" s="1" t="s">
        <v>64</v>
      </c>
      <c r="J10" s="24">
        <f>NPV(C3,J8:N8)</f>
        <v>56105.021755485272</v>
      </c>
    </row>
    <row r="12" spans="2:14" x14ac:dyDescent="0.2">
      <c r="B12" t="s">
        <v>65</v>
      </c>
      <c r="C12" s="15">
        <v>150000</v>
      </c>
      <c r="H12" s="1" t="s">
        <v>89</v>
      </c>
      <c r="K12" s="1" t="s">
        <v>67</v>
      </c>
      <c r="L12" s="1" t="s">
        <v>68</v>
      </c>
      <c r="M12" s="1" t="s">
        <v>69</v>
      </c>
      <c r="N12" s="1" t="s">
        <v>70</v>
      </c>
    </row>
    <row r="13" spans="2:14" x14ac:dyDescent="0.2">
      <c r="B13" t="s">
        <v>71</v>
      </c>
      <c r="C13" s="15">
        <v>25000</v>
      </c>
      <c r="J13" t="s">
        <v>72</v>
      </c>
      <c r="N13" s="15">
        <v>135000</v>
      </c>
    </row>
    <row r="14" spans="2:14" x14ac:dyDescent="0.2">
      <c r="B14" t="s">
        <v>73</v>
      </c>
      <c r="C14" s="2">
        <v>15000</v>
      </c>
      <c r="J14" t="s">
        <v>49</v>
      </c>
      <c r="K14" s="15">
        <f>N13</f>
        <v>135000</v>
      </c>
      <c r="L14" s="15">
        <f>K14*C15</f>
        <v>12136.5</v>
      </c>
      <c r="M14" s="16">
        <f>PMT($C$15,5,$N$13,0)</f>
        <v>-34698.476688118019</v>
      </c>
      <c r="N14" s="16">
        <f>K14+L14+M14</f>
        <v>112438.02331188199</v>
      </c>
    </row>
    <row r="15" spans="2:14" x14ac:dyDescent="0.2">
      <c r="B15" t="s">
        <v>74</v>
      </c>
      <c r="C15" s="14">
        <v>8.9899999999999994E-2</v>
      </c>
      <c r="J15" t="s">
        <v>50</v>
      </c>
      <c r="K15" s="16">
        <f>N14</f>
        <v>112438.02331188199</v>
      </c>
      <c r="L15" s="16">
        <f>K15*$C$15</f>
        <v>10108.178295738189</v>
      </c>
      <c r="M15" s="16">
        <f>PMT($C$15,5,$N$13,0)</f>
        <v>-34698.476688118019</v>
      </c>
      <c r="N15" s="16">
        <f>K15+L15+M15</f>
        <v>87847.724919502158</v>
      </c>
    </row>
    <row r="16" spans="2:14" x14ac:dyDescent="0.2">
      <c r="B16" t="s">
        <v>75</v>
      </c>
      <c r="C16">
        <v>5</v>
      </c>
      <c r="J16" t="s">
        <v>51</v>
      </c>
      <c r="K16" s="16">
        <f t="shared" ref="K16:K18" si="3">N15</f>
        <v>87847.724919502158</v>
      </c>
      <c r="L16" s="16">
        <f>K16*$C$15</f>
        <v>7897.5104702632434</v>
      </c>
      <c r="M16" s="16">
        <f>PMT($C$15,5,$N$13,0)</f>
        <v>-34698.476688118019</v>
      </c>
      <c r="N16" s="16">
        <f t="shared" ref="N16:N18" si="4">K16+L16+M16</f>
        <v>61046.758701647377</v>
      </c>
    </row>
    <row r="17" spans="8:14" x14ac:dyDescent="0.2">
      <c r="J17" t="s">
        <v>52</v>
      </c>
      <c r="K17" s="16">
        <f t="shared" si="3"/>
        <v>61046.758701647377</v>
      </c>
      <c r="L17" s="16">
        <f>K17*$C$15</f>
        <v>5488.1036072780989</v>
      </c>
      <c r="M17" s="16">
        <f>PMT($C$15,5,$N$13,0)</f>
        <v>-34698.476688118019</v>
      </c>
      <c r="N17" s="16">
        <f t="shared" si="4"/>
        <v>31836.385620807465</v>
      </c>
    </row>
    <row r="18" spans="8:14" x14ac:dyDescent="0.2">
      <c r="J18" t="s">
        <v>53</v>
      </c>
      <c r="K18" s="16">
        <f t="shared" si="3"/>
        <v>31836.385620807465</v>
      </c>
      <c r="L18" s="16">
        <f>K18*$C$15</f>
        <v>2862.0910673105909</v>
      </c>
      <c r="M18" s="16">
        <f>PMT($C$15,5,$N$13,0)</f>
        <v>-34698.476688118019</v>
      </c>
      <c r="N18" s="16">
        <f t="shared" si="4"/>
        <v>0</v>
      </c>
    </row>
    <row r="20" spans="8:14" x14ac:dyDescent="0.2">
      <c r="J20" s="1" t="s">
        <v>90</v>
      </c>
      <c r="K20" s="1" t="s">
        <v>67</v>
      </c>
      <c r="L20" s="1" t="s">
        <v>76</v>
      </c>
      <c r="M20" s="1" t="s">
        <v>77</v>
      </c>
    </row>
    <row r="21" spans="8:14" x14ac:dyDescent="0.2">
      <c r="J21" t="s">
        <v>72</v>
      </c>
      <c r="M21" s="15">
        <v>150000</v>
      </c>
    </row>
    <row r="22" spans="8:14" x14ac:dyDescent="0.2">
      <c r="J22" t="s">
        <v>49</v>
      </c>
      <c r="K22" s="15">
        <f>M21</f>
        <v>150000</v>
      </c>
      <c r="L22" s="15">
        <f>$M$21/5</f>
        <v>30000</v>
      </c>
      <c r="M22" s="15">
        <f>K22-L22</f>
        <v>120000</v>
      </c>
    </row>
    <row r="23" spans="8:14" x14ac:dyDescent="0.2">
      <c r="J23" t="s">
        <v>50</v>
      </c>
      <c r="K23" s="15">
        <f>M22</f>
        <v>120000</v>
      </c>
      <c r="L23" s="15">
        <f>$M$21/5</f>
        <v>30000</v>
      </c>
      <c r="M23" s="15">
        <f t="shared" ref="M23:M26" si="5">K23-L23</f>
        <v>90000</v>
      </c>
    </row>
    <row r="24" spans="8:14" x14ac:dyDescent="0.2">
      <c r="J24" t="s">
        <v>51</v>
      </c>
      <c r="K24" s="15">
        <f t="shared" ref="K24:K26" si="6">M23</f>
        <v>90000</v>
      </c>
      <c r="L24" s="15">
        <f>$M$21/5</f>
        <v>30000</v>
      </c>
      <c r="M24" s="15">
        <f t="shared" si="5"/>
        <v>60000</v>
      </c>
    </row>
    <row r="25" spans="8:14" x14ac:dyDescent="0.2">
      <c r="J25" t="s">
        <v>52</v>
      </c>
      <c r="K25" s="15">
        <f t="shared" si="6"/>
        <v>60000</v>
      </c>
      <c r="L25" s="15">
        <f>$M$21/5</f>
        <v>30000</v>
      </c>
      <c r="M25" s="15">
        <f t="shared" si="5"/>
        <v>30000</v>
      </c>
    </row>
    <row r="26" spans="8:14" x14ac:dyDescent="0.2">
      <c r="J26" t="s">
        <v>53</v>
      </c>
      <c r="K26" s="15">
        <f t="shared" si="6"/>
        <v>30000</v>
      </c>
      <c r="L26" s="15">
        <f>$M$21/5</f>
        <v>30000</v>
      </c>
      <c r="M26" s="15">
        <f t="shared" si="5"/>
        <v>0</v>
      </c>
    </row>
    <row r="27" spans="8:14" x14ac:dyDescent="0.2">
      <c r="K27" s="13"/>
    </row>
    <row r="28" spans="8:14" x14ac:dyDescent="0.2">
      <c r="J28" s="34" t="s">
        <v>49</v>
      </c>
      <c r="K28" s="34" t="s">
        <v>50</v>
      </c>
      <c r="L28" s="34" t="s">
        <v>51</v>
      </c>
      <c r="M28" s="34" t="s">
        <v>52</v>
      </c>
      <c r="N28" s="34" t="s">
        <v>53</v>
      </c>
    </row>
    <row r="29" spans="8:14" x14ac:dyDescent="0.2">
      <c r="H29" t="s">
        <v>55</v>
      </c>
      <c r="J29" s="2">
        <v>65000</v>
      </c>
      <c r="K29" s="2">
        <v>65000</v>
      </c>
      <c r="L29" s="2">
        <v>65000</v>
      </c>
      <c r="M29" s="2">
        <v>65000</v>
      </c>
      <c r="N29" s="2">
        <v>65000</v>
      </c>
    </row>
    <row r="30" spans="8:14" x14ac:dyDescent="0.2">
      <c r="H30" t="s">
        <v>78</v>
      </c>
      <c r="J30" s="2">
        <f>L22</f>
        <v>30000</v>
      </c>
      <c r="K30" s="2">
        <f>L23</f>
        <v>30000</v>
      </c>
      <c r="L30" s="2">
        <f>L24</f>
        <v>30000</v>
      </c>
      <c r="M30" s="2">
        <f>L25</f>
        <v>30000</v>
      </c>
      <c r="N30" s="2">
        <f>L26</f>
        <v>30000</v>
      </c>
    </row>
    <row r="31" spans="8:14" x14ac:dyDescent="0.2">
      <c r="H31" t="s">
        <v>79</v>
      </c>
      <c r="J31" s="35">
        <f>L14</f>
        <v>12136.5</v>
      </c>
      <c r="K31" s="35">
        <f>L15</f>
        <v>10108.178295738189</v>
      </c>
      <c r="L31" s="35">
        <f>L16</f>
        <v>7897.5104702632434</v>
      </c>
      <c r="M31" s="35">
        <f>L17</f>
        <v>5488.1036072780989</v>
      </c>
      <c r="N31" s="35">
        <f>L18</f>
        <v>2862.0910673105909</v>
      </c>
    </row>
    <row r="32" spans="8:14" x14ac:dyDescent="0.2">
      <c r="H32" t="s">
        <v>58</v>
      </c>
      <c r="J32" s="3">
        <f>J29-J30-J31</f>
        <v>22863.5</v>
      </c>
      <c r="K32" s="3">
        <f t="shared" ref="K32:M32" si="7">K29-K30-K31</f>
        <v>24891.821704261813</v>
      </c>
      <c r="L32" s="3">
        <f t="shared" si="7"/>
        <v>27102.489529736755</v>
      </c>
      <c r="M32" s="3">
        <f t="shared" si="7"/>
        <v>29511.896392721901</v>
      </c>
      <c r="N32" s="3">
        <f>N29-N30-N31</f>
        <v>32137.90893268941</v>
      </c>
    </row>
    <row r="33" spans="8:14" x14ac:dyDescent="0.2">
      <c r="H33" t="s">
        <v>80</v>
      </c>
      <c r="J33" s="36">
        <f>J32*$C$4</f>
        <v>5830.1925000000001</v>
      </c>
      <c r="K33" s="36">
        <f t="shared" ref="K33:M33" si="8">K32*$C$4</f>
        <v>6347.4145345867619</v>
      </c>
      <c r="L33" s="36">
        <f t="shared" si="8"/>
        <v>6911.1348300828722</v>
      </c>
      <c r="M33" s="36">
        <f t="shared" si="8"/>
        <v>7525.5335801440851</v>
      </c>
      <c r="N33" s="36">
        <f>N32*$C$4</f>
        <v>8195.1667778358005</v>
      </c>
    </row>
    <row r="34" spans="8:14" x14ac:dyDescent="0.2">
      <c r="H34" t="s">
        <v>62</v>
      </c>
      <c r="J34" s="3">
        <f>J32-J33</f>
        <v>17033.307499999999</v>
      </c>
      <c r="K34" s="3">
        <f t="shared" ref="K34:M34" si="9">K32-K33</f>
        <v>18544.407169675051</v>
      </c>
      <c r="L34" s="3">
        <f t="shared" si="9"/>
        <v>20191.354699653883</v>
      </c>
      <c r="M34" s="3">
        <f t="shared" si="9"/>
        <v>21986.362812577816</v>
      </c>
      <c r="N34" s="3">
        <f>N32-N33</f>
        <v>23942.742154853608</v>
      </c>
    </row>
    <row r="35" spans="8:14" x14ac:dyDescent="0.2">
      <c r="H35" t="s">
        <v>81</v>
      </c>
      <c r="J35" s="3">
        <f>J30</f>
        <v>30000</v>
      </c>
      <c r="K35" s="3">
        <f t="shared" ref="K35:N36" si="10">K30</f>
        <v>30000</v>
      </c>
      <c r="L35" s="3">
        <f t="shared" si="10"/>
        <v>30000</v>
      </c>
      <c r="M35" s="3">
        <f t="shared" si="10"/>
        <v>30000</v>
      </c>
      <c r="N35" s="3">
        <f t="shared" si="10"/>
        <v>30000</v>
      </c>
    </row>
    <row r="36" spans="8:14" x14ac:dyDescent="0.2">
      <c r="H36" t="s">
        <v>82</v>
      </c>
      <c r="J36" s="3">
        <f>J31</f>
        <v>12136.5</v>
      </c>
      <c r="K36" s="3">
        <f t="shared" si="10"/>
        <v>10108.178295738189</v>
      </c>
      <c r="L36" s="3">
        <f t="shared" si="10"/>
        <v>7897.5104702632434</v>
      </c>
      <c r="M36" s="3">
        <f t="shared" si="10"/>
        <v>5488.1036072780989</v>
      </c>
      <c r="N36" s="3">
        <f t="shared" si="10"/>
        <v>2862.0910673105909</v>
      </c>
    </row>
    <row r="37" spans="8:14" x14ac:dyDescent="0.2">
      <c r="H37" t="s">
        <v>83</v>
      </c>
      <c r="J37" s="37">
        <f>M14</f>
        <v>-34698.476688118019</v>
      </c>
      <c r="K37" s="37">
        <f>M15</f>
        <v>-34698.476688118019</v>
      </c>
      <c r="L37" s="37">
        <f>M16</f>
        <v>-34698.476688118019</v>
      </c>
      <c r="M37" s="37">
        <f>M17</f>
        <v>-34698.476688118019</v>
      </c>
      <c r="N37" s="37">
        <f>M18</f>
        <v>-34698.476688118019</v>
      </c>
    </row>
    <row r="38" spans="8:14" ht="16" thickBot="1" x14ac:dyDescent="0.25">
      <c r="H38" t="s">
        <v>84</v>
      </c>
      <c r="J38" s="38">
        <f>SUM(J34:J37)</f>
        <v>24471.330811881977</v>
      </c>
      <c r="K38" s="38">
        <f t="shared" ref="K38:N38" si="11">SUM(K34:K37)</f>
        <v>23954.108777295216</v>
      </c>
      <c r="L38" s="38">
        <f t="shared" si="11"/>
        <v>23390.388481799106</v>
      </c>
      <c r="M38" s="38">
        <f t="shared" si="11"/>
        <v>22775.9897317379</v>
      </c>
      <c r="N38" s="38">
        <f t="shared" si="11"/>
        <v>22106.356534046179</v>
      </c>
    </row>
    <row r="39" spans="8:14" ht="16" thickTop="1" x14ac:dyDescent="0.2"/>
    <row r="40" spans="8:14" x14ac:dyDescent="0.2">
      <c r="H40" t="s">
        <v>64</v>
      </c>
      <c r="J40" s="24">
        <f>NPV(C3,J38:N38)-C14</f>
        <v>61987.112126490581</v>
      </c>
    </row>
  </sheetData>
  <pageMargins left="0.7" right="0.7" top="0.75" bottom="0.75" header="0.3" footer="0.3"/>
  <pageSetup scale="48"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F4B9-C9A2-4577-8B54-57753A140123}">
  <dimension ref="A3:G36"/>
  <sheetViews>
    <sheetView workbookViewId="0">
      <selection activeCell="E9" sqref="E9"/>
    </sheetView>
  </sheetViews>
  <sheetFormatPr baseColWidth="10" defaultColWidth="8.83203125" defaultRowHeight="15" x14ac:dyDescent="0.2"/>
  <cols>
    <col min="1" max="1" width="45.1640625" bestFit="1" customWidth="1"/>
    <col min="3" max="3" width="14.5" bestFit="1" customWidth="1"/>
    <col min="5" max="5" width="14.5" bestFit="1" customWidth="1"/>
    <col min="6" max="6" width="15.83203125" bestFit="1" customWidth="1"/>
    <col min="7" max="7" width="11.33203125" bestFit="1" customWidth="1"/>
  </cols>
  <sheetData>
    <row r="3" spans="1:3" x14ac:dyDescent="0.2">
      <c r="A3" s="26" t="s">
        <v>91</v>
      </c>
      <c r="B3" s="26"/>
      <c r="C3" s="27">
        <v>500000</v>
      </c>
    </row>
    <row r="4" spans="1:3" x14ac:dyDescent="0.2">
      <c r="A4" s="26" t="s">
        <v>92</v>
      </c>
      <c r="B4" s="26"/>
      <c r="C4" s="26">
        <v>5.3</v>
      </c>
    </row>
    <row r="5" spans="1:3" x14ac:dyDescent="0.2">
      <c r="A5" s="26" t="s">
        <v>93</v>
      </c>
      <c r="B5" s="26"/>
      <c r="C5" s="28">
        <f>10.99*12</f>
        <v>131.88</v>
      </c>
    </row>
    <row r="6" spans="1:3" x14ac:dyDescent="0.2">
      <c r="A6" s="26" t="s">
        <v>94</v>
      </c>
      <c r="B6" s="26"/>
      <c r="C6" s="28">
        <f>C5*0.15</f>
        <v>19.782</v>
      </c>
    </row>
    <row r="7" spans="1:3" x14ac:dyDescent="0.2">
      <c r="A7" s="26" t="s">
        <v>95</v>
      </c>
      <c r="B7" s="26"/>
      <c r="C7" s="29">
        <v>0.15</v>
      </c>
    </row>
    <row r="9" spans="1:3" ht="9.75" customHeight="1" x14ac:dyDescent="0.2"/>
    <row r="10" spans="1:3" x14ac:dyDescent="0.2">
      <c r="A10" t="s">
        <v>96</v>
      </c>
    </row>
    <row r="11" spans="1:3" x14ac:dyDescent="0.2">
      <c r="A11" t="s">
        <v>97</v>
      </c>
      <c r="C11" s="4">
        <f>(C5-C6)/C5</f>
        <v>0.85</v>
      </c>
    </row>
    <row r="12" spans="1:3" x14ac:dyDescent="0.2">
      <c r="A12" t="s">
        <v>98</v>
      </c>
      <c r="C12" s="3">
        <f>C11*C5*C4</f>
        <v>594.11939999999993</v>
      </c>
    </row>
    <row r="14" spans="1:3" x14ac:dyDescent="0.2">
      <c r="A14" t="s">
        <v>99</v>
      </c>
    </row>
    <row r="15" spans="1:3" x14ac:dyDescent="0.2">
      <c r="A15" t="s">
        <v>100</v>
      </c>
      <c r="C15" s="3">
        <f>C5-C6</f>
        <v>112.098</v>
      </c>
    </row>
    <row r="16" spans="1:3" x14ac:dyDescent="0.2">
      <c r="A16" t="s">
        <v>101</v>
      </c>
      <c r="C16" s="24">
        <f>-PV(C7,C4,C15,0,1)</f>
        <v>449.68033175101658</v>
      </c>
    </row>
    <row r="18" spans="1:7" x14ac:dyDescent="0.2">
      <c r="A18" t="s">
        <v>102</v>
      </c>
    </row>
    <row r="19" spans="1:7" x14ac:dyDescent="0.2">
      <c r="A19" t="s">
        <v>103</v>
      </c>
      <c r="C19" s="2">
        <v>1000000</v>
      </c>
    </row>
    <row r="20" spans="1:7" ht="16" thickBot="1" x14ac:dyDescent="0.25">
      <c r="A20" t="s">
        <v>104</v>
      </c>
      <c r="C20" s="19">
        <v>8000</v>
      </c>
    </row>
    <row r="21" spans="1:7" ht="16" thickBot="1" x14ac:dyDescent="0.25">
      <c r="A21" t="s">
        <v>105</v>
      </c>
      <c r="C21" s="3">
        <f>C19/C20</f>
        <v>125</v>
      </c>
      <c r="E21" s="24">
        <f>C3*C16</f>
        <v>224840165.87550828</v>
      </c>
      <c r="F21" s="2">
        <f>(C3+C21)*C16</f>
        <v>224896375.91697717</v>
      </c>
      <c r="G21" s="40">
        <f>F21-E21</f>
        <v>56210.041468888521</v>
      </c>
    </row>
    <row r="23" spans="1:7" x14ac:dyDescent="0.2">
      <c r="A23" t="s">
        <v>106</v>
      </c>
    </row>
    <row r="24" spans="1:7" x14ac:dyDescent="0.2">
      <c r="A24" t="s">
        <v>107</v>
      </c>
      <c r="C24" s="2">
        <v>1000000</v>
      </c>
    </row>
    <row r="25" spans="1:7" x14ac:dyDescent="0.2">
      <c r="A25" t="s">
        <v>108</v>
      </c>
      <c r="C25" s="25">
        <v>5.4</v>
      </c>
    </row>
    <row r="26" spans="1:7" x14ac:dyDescent="0.2">
      <c r="A26" t="s">
        <v>109</v>
      </c>
      <c r="C26" s="24">
        <f>-PV(C7,C25,C15,0,1)</f>
        <v>455.36707292177459</v>
      </c>
    </row>
    <row r="27" spans="1:7" ht="16" thickBot="1" x14ac:dyDescent="0.25">
      <c r="A27" t="s">
        <v>110</v>
      </c>
      <c r="C27" s="24">
        <f>C26-C16</f>
        <v>5.6867411707580118</v>
      </c>
    </row>
    <row r="28" spans="1:7" ht="16" thickBot="1" x14ac:dyDescent="0.25">
      <c r="A28" t="s">
        <v>111</v>
      </c>
      <c r="C28" s="41">
        <f>C27*C3</f>
        <v>2843370.5853790059</v>
      </c>
    </row>
    <row r="30" spans="1:7" x14ac:dyDescent="0.2">
      <c r="A30" t="s">
        <v>112</v>
      </c>
    </row>
    <row r="31" spans="1:7" x14ac:dyDescent="0.2">
      <c r="A31" t="s">
        <v>113</v>
      </c>
      <c r="C31" s="2">
        <v>1000000</v>
      </c>
    </row>
    <row r="32" spans="1:7" x14ac:dyDescent="0.2">
      <c r="A32" t="s">
        <v>114</v>
      </c>
      <c r="C32" s="2">
        <f>11.49*12</f>
        <v>137.88</v>
      </c>
    </row>
    <row r="33" spans="1:3" x14ac:dyDescent="0.2">
      <c r="A33" t="s">
        <v>115</v>
      </c>
      <c r="C33" s="3">
        <f>C32-C6</f>
        <v>118.098</v>
      </c>
    </row>
    <row r="34" spans="1:3" x14ac:dyDescent="0.2">
      <c r="A34" t="s">
        <v>109</v>
      </c>
      <c r="C34" s="24">
        <f>-PV(C7,C4,C33,0,1)</f>
        <v>473.74928918563722</v>
      </c>
    </row>
    <row r="35" spans="1:3" ht="16" thickBot="1" x14ac:dyDescent="0.25">
      <c r="A35" t="s">
        <v>116</v>
      </c>
      <c r="C35" s="24">
        <f>C34-C16</f>
        <v>24.068957434620643</v>
      </c>
    </row>
    <row r="36" spans="1:3" ht="16" thickBot="1" x14ac:dyDescent="0.25">
      <c r="A36" t="s">
        <v>111</v>
      </c>
      <c r="C36" s="41">
        <f>C35*C3</f>
        <v>12034478.717310321</v>
      </c>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5797-4988-45CB-BFED-1D4C2ABBCB6E}">
  <sheetPr>
    <pageSetUpPr fitToPage="1"/>
  </sheetPr>
  <dimension ref="A1:G22"/>
  <sheetViews>
    <sheetView tabSelected="1" zoomScale="90" workbookViewId="0">
      <selection activeCell="E25" sqref="E25"/>
    </sheetView>
  </sheetViews>
  <sheetFormatPr baseColWidth="10" defaultColWidth="8.83203125" defaultRowHeight="15" x14ac:dyDescent="0.2"/>
  <cols>
    <col min="2" max="2" width="14.6640625" bestFit="1" customWidth="1"/>
    <col min="3" max="3" width="14.33203125" bestFit="1" customWidth="1"/>
    <col min="5" max="5" width="38.83203125" bestFit="1" customWidth="1"/>
    <col min="6" max="6" width="9.1640625" bestFit="1" customWidth="1"/>
    <col min="7" max="7" width="9.1640625" style="4"/>
  </cols>
  <sheetData>
    <row r="1" spans="1:6" x14ac:dyDescent="0.2">
      <c r="A1" t="s">
        <v>117</v>
      </c>
      <c r="C1" s="2"/>
      <c r="F1" s="4"/>
    </row>
    <row r="2" spans="1:6" x14ac:dyDescent="0.2">
      <c r="B2" s="30" t="s">
        <v>118</v>
      </c>
      <c r="C2" s="5">
        <v>1000000</v>
      </c>
      <c r="E2" s="6" t="s">
        <v>119</v>
      </c>
      <c r="F2" s="7">
        <f>(C5/C2)</f>
        <v>0.22500000000000001</v>
      </c>
    </row>
    <row r="3" spans="1:6" x14ac:dyDescent="0.2">
      <c r="B3" s="31" t="s">
        <v>120</v>
      </c>
      <c r="C3" s="8">
        <v>375000</v>
      </c>
      <c r="E3" s="10" t="s">
        <v>121</v>
      </c>
      <c r="F3" s="7">
        <f>(C8/C2)</f>
        <v>0.154</v>
      </c>
    </row>
    <row r="4" spans="1:6" x14ac:dyDescent="0.2">
      <c r="B4" s="32" t="s">
        <v>122</v>
      </c>
      <c r="C4" s="9">
        <v>400000</v>
      </c>
      <c r="E4" s="6" t="s">
        <v>123</v>
      </c>
      <c r="F4" s="11">
        <f>C2/C9</f>
        <v>1.4814814814814814</v>
      </c>
    </row>
    <row r="5" spans="1:6" x14ac:dyDescent="0.2">
      <c r="B5" s="31" t="s">
        <v>124</v>
      </c>
      <c r="C5" s="8">
        <f>C2-C3-C4</f>
        <v>225000</v>
      </c>
      <c r="E5" s="10" t="s">
        <v>125</v>
      </c>
      <c r="F5" s="7">
        <f>C8/C9</f>
        <v>0.22814814814814816</v>
      </c>
    </row>
    <row r="6" spans="1:6" x14ac:dyDescent="0.2">
      <c r="B6" s="31" t="s">
        <v>126</v>
      </c>
      <c r="C6" s="8">
        <v>5000</v>
      </c>
      <c r="E6" s="6" t="s">
        <v>127</v>
      </c>
      <c r="F6" s="12">
        <f>C9/C11</f>
        <v>1.1440677966101696</v>
      </c>
    </row>
    <row r="7" spans="1:6" x14ac:dyDescent="0.2">
      <c r="B7" s="32" t="s">
        <v>128</v>
      </c>
      <c r="C7" s="9">
        <v>66000</v>
      </c>
      <c r="E7" s="10" t="s">
        <v>129</v>
      </c>
      <c r="F7" s="7">
        <f>C8/C11</f>
        <v>0.26101694915254237</v>
      </c>
    </row>
    <row r="8" spans="1:6" ht="16" thickBot="1" x14ac:dyDescent="0.25">
      <c r="B8" s="31" t="s">
        <v>62</v>
      </c>
      <c r="C8" s="66">
        <f>C5-C6-C7</f>
        <v>154000</v>
      </c>
      <c r="F8" s="4"/>
    </row>
    <row r="9" spans="1:6" ht="16" thickTop="1" x14ac:dyDescent="0.2">
      <c r="B9" s="31" t="s">
        <v>130</v>
      </c>
      <c r="C9" s="8">
        <v>675000</v>
      </c>
      <c r="F9" s="4"/>
    </row>
    <row r="10" spans="1:6" x14ac:dyDescent="0.2">
      <c r="B10" s="32" t="s">
        <v>131</v>
      </c>
      <c r="C10" s="8">
        <v>85000</v>
      </c>
      <c r="F10" s="4"/>
    </row>
    <row r="11" spans="1:6" x14ac:dyDescent="0.2">
      <c r="B11" s="32" t="s">
        <v>132</v>
      </c>
      <c r="C11" s="9">
        <f>C9-C10</f>
        <v>590000</v>
      </c>
      <c r="E11" s="6" t="s">
        <v>119</v>
      </c>
      <c r="F11" s="68">
        <f>(C16/C13)</f>
        <v>0.2</v>
      </c>
    </row>
    <row r="12" spans="1:6" x14ac:dyDescent="0.2">
      <c r="A12" t="s">
        <v>133</v>
      </c>
      <c r="C12" s="2"/>
      <c r="E12" s="10" t="s">
        <v>121</v>
      </c>
      <c r="F12" s="7">
        <f>(C19/C13)</f>
        <v>8.1000000000000003E-2</v>
      </c>
    </row>
    <row r="13" spans="1:6" x14ac:dyDescent="0.2">
      <c r="B13" s="30" t="s">
        <v>118</v>
      </c>
      <c r="C13" s="5">
        <v>1000000</v>
      </c>
      <c r="E13" s="6" t="s">
        <v>123</v>
      </c>
      <c r="F13" s="11">
        <f>C13/C20</f>
        <v>1.1428571428571428</v>
      </c>
    </row>
    <row r="14" spans="1:6" x14ac:dyDescent="0.2">
      <c r="B14" s="31" t="s">
        <v>120</v>
      </c>
      <c r="C14" s="8">
        <v>275000</v>
      </c>
      <c r="E14" s="10" t="s">
        <v>125</v>
      </c>
      <c r="F14" s="7">
        <f>C19/C20</f>
        <v>9.2571428571428568E-2</v>
      </c>
    </row>
    <row r="15" spans="1:6" x14ac:dyDescent="0.2">
      <c r="B15" s="32" t="s">
        <v>122</v>
      </c>
      <c r="C15" s="8">
        <v>525000</v>
      </c>
      <c r="E15" s="6" t="s">
        <v>127</v>
      </c>
      <c r="F15" s="12">
        <f>C20/C22</f>
        <v>5</v>
      </c>
    </row>
    <row r="16" spans="1:6" x14ac:dyDescent="0.2">
      <c r="B16" s="31" t="s">
        <v>124</v>
      </c>
      <c r="C16" s="8">
        <f>C13-C14-C15</f>
        <v>200000</v>
      </c>
      <c r="E16" s="10" t="s">
        <v>129</v>
      </c>
      <c r="F16" s="7">
        <f>C19/C22</f>
        <v>0.46285714285714286</v>
      </c>
    </row>
    <row r="17" spans="2:6" x14ac:dyDescent="0.2">
      <c r="B17" s="31" t="s">
        <v>126</v>
      </c>
      <c r="C17" s="8">
        <v>44000</v>
      </c>
      <c r="F17" s="4"/>
    </row>
    <row r="18" spans="2:6" x14ac:dyDescent="0.2">
      <c r="B18" s="32" t="s">
        <v>128</v>
      </c>
      <c r="C18" s="8">
        <v>75000</v>
      </c>
      <c r="F18" s="4"/>
    </row>
    <row r="19" spans="2:6" ht="16" thickBot="1" x14ac:dyDescent="0.25">
      <c r="B19" s="31" t="s">
        <v>62</v>
      </c>
      <c r="C19" s="67">
        <f>C16-C17-C18</f>
        <v>81000</v>
      </c>
    </row>
    <row r="20" spans="2:6" ht="16" thickTop="1" x14ac:dyDescent="0.2">
      <c r="B20" s="31" t="s">
        <v>130</v>
      </c>
      <c r="C20" s="8">
        <v>875000</v>
      </c>
    </row>
    <row r="21" spans="2:6" x14ac:dyDescent="0.2">
      <c r="B21" s="32" t="s">
        <v>131</v>
      </c>
      <c r="C21" s="8">
        <v>700000</v>
      </c>
    </row>
    <row r="22" spans="2:6" x14ac:dyDescent="0.2">
      <c r="B22" s="32" t="s">
        <v>132</v>
      </c>
      <c r="C22" s="9">
        <f>C20-C21</f>
        <v>175000</v>
      </c>
    </row>
  </sheetData>
  <pageMargins left="0.7" right="0.7" top="0.75" bottom="0.75" header="0.3" footer="0.3"/>
  <pageSetup scale="96"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CA36-BA73-446D-A139-B745127F910F}">
  <dimension ref="A2:F28"/>
  <sheetViews>
    <sheetView workbookViewId="0">
      <selection activeCell="E21" sqref="E21"/>
    </sheetView>
  </sheetViews>
  <sheetFormatPr baseColWidth="10" defaultColWidth="8.83203125" defaultRowHeight="15" x14ac:dyDescent="0.2"/>
  <cols>
    <col min="1" max="1" width="33.5" bestFit="1" customWidth="1"/>
    <col min="3" max="3" width="24.33203125" bestFit="1" customWidth="1"/>
    <col min="4" max="4" width="22.33203125" bestFit="1" customWidth="1"/>
    <col min="5" max="6" width="31.5" bestFit="1" customWidth="1"/>
  </cols>
  <sheetData>
    <row r="2" spans="1:6" x14ac:dyDescent="0.2">
      <c r="A2" t="s">
        <v>134</v>
      </c>
      <c r="B2" s="19">
        <v>12250</v>
      </c>
    </row>
    <row r="4" spans="1:6" x14ac:dyDescent="0.2">
      <c r="C4" t="s">
        <v>135</v>
      </c>
      <c r="D4" t="s">
        <v>136</v>
      </c>
      <c r="E4" t="s">
        <v>137</v>
      </c>
      <c r="F4" t="s">
        <v>138</v>
      </c>
    </row>
    <row r="5" spans="1:6" x14ac:dyDescent="0.2">
      <c r="A5" t="s">
        <v>139</v>
      </c>
      <c r="C5" s="20">
        <v>98.7</v>
      </c>
      <c r="D5" s="20">
        <v>115.4</v>
      </c>
      <c r="E5" s="21">
        <v>12</v>
      </c>
      <c r="F5" s="21">
        <v>14</v>
      </c>
    </row>
    <row r="6" spans="1:6" x14ac:dyDescent="0.2">
      <c r="C6" t="s">
        <v>140</v>
      </c>
      <c r="D6" t="s">
        <v>141</v>
      </c>
      <c r="E6" t="s">
        <v>142</v>
      </c>
      <c r="F6" t="s">
        <v>143</v>
      </c>
    </row>
    <row r="7" spans="1:6" x14ac:dyDescent="0.2">
      <c r="A7" t="s">
        <v>144</v>
      </c>
      <c r="C7" s="22">
        <v>27.25</v>
      </c>
      <c r="D7" s="22">
        <v>35.5</v>
      </c>
      <c r="E7" s="21">
        <v>8</v>
      </c>
      <c r="F7" s="21">
        <v>9.5</v>
      </c>
    </row>
    <row r="8" spans="1:6" x14ac:dyDescent="0.2">
      <c r="C8" t="s">
        <v>145</v>
      </c>
      <c r="D8" t="s">
        <v>146</v>
      </c>
      <c r="E8" t="s">
        <v>147</v>
      </c>
      <c r="F8" t="s">
        <v>148</v>
      </c>
    </row>
    <row r="9" spans="1:6" x14ac:dyDescent="0.2">
      <c r="A9" t="s">
        <v>149</v>
      </c>
      <c r="C9" s="20">
        <v>16.850000000000001</v>
      </c>
      <c r="D9" s="20">
        <v>17.02</v>
      </c>
      <c r="E9" s="21">
        <v>2.0499999999999998</v>
      </c>
      <c r="F9" s="21">
        <v>2</v>
      </c>
    </row>
    <row r="10" spans="1:6" x14ac:dyDescent="0.2">
      <c r="C10" t="s">
        <v>150</v>
      </c>
      <c r="D10" t="s">
        <v>151</v>
      </c>
      <c r="E10" t="s">
        <v>152</v>
      </c>
      <c r="F10" t="s">
        <v>153</v>
      </c>
    </row>
    <row r="11" spans="1:6" x14ac:dyDescent="0.2">
      <c r="A11" t="s">
        <v>154</v>
      </c>
      <c r="C11" s="20">
        <v>1.2</v>
      </c>
      <c r="D11" s="20">
        <v>1.1499999999999999</v>
      </c>
      <c r="E11" s="21">
        <v>2.1</v>
      </c>
      <c r="F11" s="21">
        <v>2</v>
      </c>
    </row>
    <row r="12" spans="1:6" x14ac:dyDescent="0.2">
      <c r="C12" s="2"/>
      <c r="D12" s="2"/>
    </row>
    <row r="13" spans="1:6" x14ac:dyDescent="0.2">
      <c r="C13" t="s">
        <v>155</v>
      </c>
      <c r="D13" t="s">
        <v>156</v>
      </c>
      <c r="E13" t="s">
        <v>157</v>
      </c>
      <c r="F13" t="s">
        <v>158</v>
      </c>
    </row>
    <row r="14" spans="1:6" x14ac:dyDescent="0.2">
      <c r="A14" t="s">
        <v>159</v>
      </c>
      <c r="C14" s="20">
        <v>24.55</v>
      </c>
      <c r="D14" s="20">
        <v>26.88</v>
      </c>
      <c r="E14" s="21">
        <v>1.5</v>
      </c>
      <c r="F14" s="21">
        <v>1.74</v>
      </c>
    </row>
    <row r="17" spans="1:6" x14ac:dyDescent="0.2">
      <c r="C17" t="s">
        <v>160</v>
      </c>
      <c r="E17" t="s">
        <v>161</v>
      </c>
    </row>
    <row r="18" spans="1:6" x14ac:dyDescent="0.2">
      <c r="A18" s="1" t="s">
        <v>139</v>
      </c>
      <c r="C18" s="23">
        <f>(F5*D5)-(F5*C5)</f>
        <v>233.80000000000018</v>
      </c>
      <c r="D18" s="18" t="s">
        <v>162</v>
      </c>
      <c r="E18" s="23">
        <f>(F5*C5)-(E5*C5)</f>
        <v>197.39999999999986</v>
      </c>
      <c r="F18" s="18" t="s">
        <v>162</v>
      </c>
    </row>
    <row r="19" spans="1:6" x14ac:dyDescent="0.2">
      <c r="A19" s="1" t="s">
        <v>144</v>
      </c>
      <c r="C19" s="23">
        <f>(F7*D7)-(F7*C7)</f>
        <v>78.375</v>
      </c>
      <c r="D19" s="18" t="s">
        <v>163</v>
      </c>
      <c r="E19" s="23">
        <f>(F7*C7)-(E7*C7)</f>
        <v>40.875</v>
      </c>
      <c r="F19" s="18" t="s">
        <v>162</v>
      </c>
    </row>
    <row r="20" spans="1:6" x14ac:dyDescent="0.2">
      <c r="A20" s="1" t="s">
        <v>149</v>
      </c>
      <c r="C20" s="23">
        <f>(F9*D9)-(F9*C9)</f>
        <v>0.33999999999999631</v>
      </c>
      <c r="D20" s="18" t="s">
        <v>162</v>
      </c>
      <c r="E20" s="23">
        <f>(F9*C9)-(E9*C9)</f>
        <v>-0.84249999999999403</v>
      </c>
      <c r="F20" s="18" t="s">
        <v>163</v>
      </c>
    </row>
    <row r="21" spans="1:6" x14ac:dyDescent="0.2">
      <c r="A21" s="1" t="s">
        <v>154</v>
      </c>
      <c r="C21" s="23">
        <f>(F11*D11)-(F11*C11)</f>
        <v>-0.10000000000000009</v>
      </c>
      <c r="D21" s="18" t="s">
        <v>163</v>
      </c>
      <c r="E21" s="23">
        <f>(F11*C11)-(E11*C11)</f>
        <v>-0.12000000000000011</v>
      </c>
      <c r="F21" s="18" t="s">
        <v>163</v>
      </c>
    </row>
    <row r="22" spans="1:6" x14ac:dyDescent="0.2">
      <c r="A22" s="1"/>
    </row>
    <row r="23" spans="1:6" x14ac:dyDescent="0.2">
      <c r="A23" s="1" t="s">
        <v>164</v>
      </c>
      <c r="C23" t="s">
        <v>165</v>
      </c>
      <c r="E23" t="s">
        <v>166</v>
      </c>
    </row>
    <row r="24" spans="1:6" x14ac:dyDescent="0.2">
      <c r="A24" s="1"/>
      <c r="C24" s="23">
        <f>(D14*F14)-(F14*C14)</f>
        <v>4.0542000000000016</v>
      </c>
      <c r="D24" s="18" t="s">
        <v>162</v>
      </c>
      <c r="E24" s="23">
        <f>(F14*C14)-(C14*E14)</f>
        <v>5.8919999999999959</v>
      </c>
      <c r="F24" s="18" t="s">
        <v>162</v>
      </c>
    </row>
    <row r="28" spans="1:6" x14ac:dyDescent="0.2">
      <c r="C28" s="3">
        <f>-C18+C19-C20+C21-C24</f>
        <v>-159.91920000000019</v>
      </c>
      <c r="E28" s="3">
        <f>-E18-E19+E20+E21-E24</f>
        <v>-245.12949999999987</v>
      </c>
    </row>
  </sheetData>
  <dataValidations count="1">
    <dataValidation type="list" allowBlank="1" showInputMessage="1" showErrorMessage="1" sqref="D18:D21 F18:F21 D24 F24" xr:uid="{FA40E2DE-CC7A-441C-ADE4-D34777F99E8F}">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606F-768F-4F4B-8138-A4264EF3614E}">
  <sheetPr>
    <pageSetUpPr fitToPage="1"/>
  </sheetPr>
  <dimension ref="B2:W28"/>
  <sheetViews>
    <sheetView workbookViewId="0">
      <selection activeCell="L13" sqref="L13"/>
    </sheetView>
  </sheetViews>
  <sheetFormatPr baseColWidth="10" defaultColWidth="8.6640625" defaultRowHeight="15" x14ac:dyDescent="0.2"/>
  <cols>
    <col min="2" max="2" width="27.33203125" customWidth="1"/>
    <col min="3" max="3" width="9.1640625" bestFit="1" customWidth="1"/>
    <col min="4" max="4" width="8.6640625" hidden="1" customWidth="1"/>
    <col min="5" max="5" width="9.1640625" hidden="1" customWidth="1"/>
    <col min="6" max="6" width="8.6640625" hidden="1" customWidth="1"/>
    <col min="7" max="7" width="0" hidden="1" customWidth="1"/>
    <col min="8" max="8" width="19.5" bestFit="1" customWidth="1"/>
    <col min="9" max="9" width="15.5" bestFit="1" customWidth="1"/>
    <col min="10" max="10" width="11.6640625" bestFit="1" customWidth="1"/>
    <col min="11" max="12" width="13.33203125" bestFit="1" customWidth="1"/>
    <col min="13" max="13" width="10.1640625" bestFit="1" customWidth="1"/>
    <col min="14" max="14" width="15.5" bestFit="1" customWidth="1"/>
    <col min="17" max="17" width="14.5" bestFit="1" customWidth="1"/>
    <col min="18" max="18" width="11.6640625" bestFit="1" customWidth="1"/>
    <col min="19" max="23" width="11.1640625" bestFit="1" customWidth="1"/>
  </cols>
  <sheetData>
    <row r="2" spans="2:23" x14ac:dyDescent="0.2">
      <c r="B2" t="s">
        <v>46</v>
      </c>
    </row>
    <row r="3" spans="2:23" x14ac:dyDescent="0.2">
      <c r="B3" t="s">
        <v>47</v>
      </c>
      <c r="C3" s="13">
        <v>0.15</v>
      </c>
      <c r="H3" s="1" t="s">
        <v>167</v>
      </c>
      <c r="J3" t="s">
        <v>49</v>
      </c>
      <c r="K3" t="s">
        <v>50</v>
      </c>
      <c r="L3" t="s">
        <v>51</v>
      </c>
      <c r="M3" t="s">
        <v>52</v>
      </c>
      <c r="N3" t="s">
        <v>53</v>
      </c>
      <c r="Q3" s="1" t="s">
        <v>168</v>
      </c>
      <c r="S3" t="s">
        <v>49</v>
      </c>
      <c r="T3" t="s">
        <v>50</v>
      </c>
      <c r="U3" t="s">
        <v>51</v>
      </c>
      <c r="V3" t="s">
        <v>52</v>
      </c>
      <c r="W3" t="s">
        <v>53</v>
      </c>
    </row>
    <row r="4" spans="2:23" x14ac:dyDescent="0.2">
      <c r="B4" t="s">
        <v>54</v>
      </c>
      <c r="C4" s="14">
        <v>0.155</v>
      </c>
      <c r="H4" t="s">
        <v>169</v>
      </c>
      <c r="J4" s="15">
        <v>-30000</v>
      </c>
      <c r="K4" s="15">
        <v>-30000</v>
      </c>
      <c r="L4" s="15">
        <v>-30000</v>
      </c>
      <c r="M4" s="15">
        <v>-30000</v>
      </c>
      <c r="N4" s="15">
        <v>-30000</v>
      </c>
      <c r="Q4" t="s">
        <v>170</v>
      </c>
      <c r="S4" s="15">
        <f>J13</f>
        <v>10000</v>
      </c>
      <c r="T4" s="16">
        <f>J14</f>
        <v>8295.4354543316349</v>
      </c>
      <c r="U4" s="16">
        <f>J15</f>
        <v>6454.5057450097984</v>
      </c>
      <c r="V4" s="16">
        <f>J16</f>
        <v>4466.3016589422168</v>
      </c>
      <c r="W4" s="16">
        <f>J17</f>
        <v>2319.0412459892282</v>
      </c>
    </row>
    <row r="5" spans="2:23" x14ac:dyDescent="0.2">
      <c r="H5" t="s">
        <v>171</v>
      </c>
      <c r="I5" s="14">
        <v>0.155</v>
      </c>
      <c r="J5" s="16">
        <f>J4*$I$5</f>
        <v>-4650</v>
      </c>
      <c r="K5" s="16">
        <f t="shared" ref="K5:N5" si="0">K4*$I$5</f>
        <v>-4650</v>
      </c>
      <c r="L5" s="16">
        <f t="shared" si="0"/>
        <v>-4650</v>
      </c>
      <c r="M5" s="16">
        <f t="shared" si="0"/>
        <v>-4650</v>
      </c>
      <c r="N5" s="16">
        <f t="shared" si="0"/>
        <v>-4650</v>
      </c>
      <c r="Q5" t="s">
        <v>76</v>
      </c>
      <c r="S5" s="15">
        <v>25000</v>
      </c>
      <c r="T5" s="15">
        <v>25000</v>
      </c>
      <c r="U5" s="15">
        <v>25000</v>
      </c>
      <c r="V5" s="15">
        <v>25000</v>
      </c>
      <c r="W5" s="15">
        <v>25000</v>
      </c>
    </row>
    <row r="6" spans="2:23" x14ac:dyDescent="0.2">
      <c r="B6" t="s">
        <v>172</v>
      </c>
      <c r="H6" t="s">
        <v>173</v>
      </c>
      <c r="J6" s="15">
        <f>J4-J5</f>
        <v>-25350</v>
      </c>
      <c r="K6" s="15">
        <f t="shared" ref="K6:N6" si="1">K4-K5</f>
        <v>-25350</v>
      </c>
      <c r="L6" s="15">
        <f t="shared" si="1"/>
        <v>-25350</v>
      </c>
      <c r="M6" s="15">
        <f t="shared" si="1"/>
        <v>-25350</v>
      </c>
      <c r="N6" s="15">
        <f t="shared" si="1"/>
        <v>-25350</v>
      </c>
      <c r="Q6" t="s">
        <v>174</v>
      </c>
      <c r="S6" s="15">
        <f>S4+S5</f>
        <v>35000</v>
      </c>
      <c r="T6" s="15">
        <f>T4+T5</f>
        <v>33295.435454331637</v>
      </c>
      <c r="U6" s="15">
        <f t="shared" ref="U6:W6" si="2">U4+U5</f>
        <v>31454.505745009799</v>
      </c>
      <c r="V6" s="15">
        <f t="shared" si="2"/>
        <v>29466.301658942219</v>
      </c>
      <c r="W6" s="15">
        <f t="shared" si="2"/>
        <v>27319.041245989229</v>
      </c>
    </row>
    <row r="7" spans="2:23" x14ac:dyDescent="0.2">
      <c r="B7" t="s">
        <v>61</v>
      </c>
      <c r="C7">
        <v>5</v>
      </c>
      <c r="E7" s="15"/>
      <c r="Q7" t="s">
        <v>171</v>
      </c>
      <c r="S7" s="16">
        <f>S6*I5</f>
        <v>5425</v>
      </c>
      <c r="T7" s="16">
        <f>T6*I5</f>
        <v>5160.7924954214041</v>
      </c>
      <c r="U7" s="16">
        <f>U6*I5</f>
        <v>4875.4483904765193</v>
      </c>
      <c r="V7" s="16">
        <f>I5*V6</f>
        <v>4567.2767571360437</v>
      </c>
      <c r="W7" s="16">
        <f>I5*W6</f>
        <v>4234.45139312833</v>
      </c>
    </row>
    <row r="8" spans="2:23" x14ac:dyDescent="0.2">
      <c r="B8" t="s">
        <v>175</v>
      </c>
      <c r="C8" s="15">
        <v>30000</v>
      </c>
      <c r="J8" t="s">
        <v>47</v>
      </c>
      <c r="K8" s="13">
        <v>0.15</v>
      </c>
    </row>
    <row r="9" spans="2:23" x14ac:dyDescent="0.2">
      <c r="H9" s="1" t="s">
        <v>64</v>
      </c>
      <c r="I9" s="17">
        <f>NPV(K8,J6:N6)</f>
        <v>-84977.131734589057</v>
      </c>
    </row>
    <row r="10" spans="2:23" x14ac:dyDescent="0.2">
      <c r="B10" t="s">
        <v>176</v>
      </c>
      <c r="H10" t="s">
        <v>177</v>
      </c>
      <c r="I10" t="s">
        <v>177</v>
      </c>
      <c r="N10" t="s">
        <v>178</v>
      </c>
      <c r="Q10" t="s">
        <v>179</v>
      </c>
      <c r="S10" s="16">
        <f>K13+S7</f>
        <v>-25882.056820854574</v>
      </c>
      <c r="T10" s="16">
        <f>K14+T7</f>
        <v>-26146.264325433171</v>
      </c>
      <c r="U10" s="16">
        <f>K15+U7</f>
        <v>-26431.608430378055</v>
      </c>
      <c r="V10" s="16">
        <f>K16+V7</f>
        <v>-26739.780063718528</v>
      </c>
      <c r="W10" s="16">
        <f>K17+W7</f>
        <v>-27072.605427726245</v>
      </c>
    </row>
    <row r="11" spans="2:23" x14ac:dyDescent="0.2">
      <c r="B11" t="s">
        <v>65</v>
      </c>
      <c r="C11" s="15">
        <v>125000</v>
      </c>
      <c r="I11" t="s">
        <v>67</v>
      </c>
      <c r="J11" t="s">
        <v>68</v>
      </c>
      <c r="K11" t="s">
        <v>69</v>
      </c>
      <c r="L11" t="s">
        <v>70</v>
      </c>
      <c r="W11" t="s">
        <v>177</v>
      </c>
    </row>
    <row r="12" spans="2:23" x14ac:dyDescent="0.2">
      <c r="B12" t="s">
        <v>71</v>
      </c>
      <c r="C12" s="15">
        <v>25000</v>
      </c>
      <c r="H12" t="s">
        <v>72</v>
      </c>
      <c r="L12" s="15">
        <v>125000</v>
      </c>
    </row>
    <row r="13" spans="2:23" x14ac:dyDescent="0.2">
      <c r="B13" t="s">
        <v>73</v>
      </c>
      <c r="C13" s="13">
        <v>1</v>
      </c>
      <c r="H13" t="s">
        <v>49</v>
      </c>
      <c r="I13" s="15">
        <f>L12</f>
        <v>125000</v>
      </c>
      <c r="J13" s="15">
        <f>I13*C14</f>
        <v>10000</v>
      </c>
      <c r="K13" s="16">
        <f>PMT($C$14,5,$L$12,0)</f>
        <v>-31307.056820854574</v>
      </c>
      <c r="L13" s="16">
        <f>I13+J13+K13</f>
        <v>103692.94317914543</v>
      </c>
      <c r="N13" s="16">
        <f>J13+K13</f>
        <v>-21307.056820854574</v>
      </c>
      <c r="R13" t="s">
        <v>47</v>
      </c>
      <c r="S13" s="13">
        <v>0.15</v>
      </c>
    </row>
    <row r="14" spans="2:23" x14ac:dyDescent="0.2">
      <c r="B14" t="s">
        <v>74</v>
      </c>
      <c r="C14" s="13">
        <v>0.08</v>
      </c>
      <c r="H14" t="s">
        <v>50</v>
      </c>
      <c r="I14" s="16">
        <f>L13</f>
        <v>103692.94317914543</v>
      </c>
      <c r="J14" s="16">
        <f>I14*$C$14</f>
        <v>8295.4354543316349</v>
      </c>
      <c r="K14" s="16">
        <f>PMT($C$14,5,$L$12,0)</f>
        <v>-31307.056820854574</v>
      </c>
      <c r="L14" s="16">
        <f>I14+J14+K14</f>
        <v>80681.321812622482</v>
      </c>
      <c r="Q14" s="1" t="s">
        <v>180</v>
      </c>
      <c r="R14" s="17">
        <f>NPV(S13,S10:W10)</f>
        <v>-88404.105771815084</v>
      </c>
    </row>
    <row r="15" spans="2:23" x14ac:dyDescent="0.2">
      <c r="B15" t="s">
        <v>75</v>
      </c>
      <c r="C15">
        <v>5</v>
      </c>
      <c r="H15" t="s">
        <v>51</v>
      </c>
      <c r="I15" s="16">
        <f t="shared" ref="I15:I17" si="3">L14</f>
        <v>80681.321812622482</v>
      </c>
      <c r="J15" s="16">
        <f t="shared" ref="J15:J17" si="4">I15*$C$14</f>
        <v>6454.5057450097984</v>
      </c>
      <c r="K15" s="16">
        <f>PMT($C$14,5,$L$12,0)</f>
        <v>-31307.056820854574</v>
      </c>
      <c r="L15" s="16">
        <f t="shared" ref="L15:L17" si="5">I15+J15+K15</f>
        <v>55828.770736777704</v>
      </c>
    </row>
    <row r="16" spans="2:23" x14ac:dyDescent="0.2">
      <c r="H16" t="s">
        <v>52</v>
      </c>
      <c r="I16" s="16">
        <f t="shared" si="3"/>
        <v>55828.770736777704</v>
      </c>
      <c r="J16" s="16">
        <f t="shared" si="4"/>
        <v>4466.3016589422168</v>
      </c>
      <c r="K16" s="16">
        <f>PMT($C$14,5,$L$12,0)</f>
        <v>-31307.056820854574</v>
      </c>
      <c r="L16" s="16">
        <f t="shared" si="5"/>
        <v>28988.015574865349</v>
      </c>
    </row>
    <row r="17" spans="7:17" x14ac:dyDescent="0.2">
      <c r="H17" t="s">
        <v>53</v>
      </c>
      <c r="I17" s="16">
        <f t="shared" si="3"/>
        <v>28988.015574865349</v>
      </c>
      <c r="J17" s="16">
        <f t="shared" si="4"/>
        <v>2319.0412459892282</v>
      </c>
      <c r="K17" s="16">
        <f>PMT($C$14,5,$L$12,0)</f>
        <v>-31307.056820854574</v>
      </c>
      <c r="L17" s="16">
        <f t="shared" si="5"/>
        <v>0</v>
      </c>
    </row>
    <row r="19" spans="7:17" x14ac:dyDescent="0.2">
      <c r="I19" t="s">
        <v>67</v>
      </c>
      <c r="J19" t="s">
        <v>76</v>
      </c>
      <c r="K19" t="s">
        <v>181</v>
      </c>
    </row>
    <row r="20" spans="7:17" x14ac:dyDescent="0.2">
      <c r="H20" t="s">
        <v>72</v>
      </c>
      <c r="K20" s="15">
        <f>L12</f>
        <v>125000</v>
      </c>
    </row>
    <row r="21" spans="7:17" x14ac:dyDescent="0.2">
      <c r="H21" t="s">
        <v>49</v>
      </c>
      <c r="I21" s="15">
        <f>K20</f>
        <v>125000</v>
      </c>
      <c r="J21" s="15">
        <f>$K$20/5</f>
        <v>25000</v>
      </c>
      <c r="K21" s="15">
        <f>I21-J21</f>
        <v>100000</v>
      </c>
      <c r="L21" t="s">
        <v>177</v>
      </c>
    </row>
    <row r="22" spans="7:17" x14ac:dyDescent="0.2">
      <c r="H22" t="s">
        <v>50</v>
      </c>
      <c r="I22" s="15">
        <f>K21</f>
        <v>100000</v>
      </c>
      <c r="J22" s="15">
        <f>$K$20/5</f>
        <v>25000</v>
      </c>
      <c r="K22" s="15">
        <f t="shared" ref="K22:K25" si="6">I22-J22</f>
        <v>75000</v>
      </c>
    </row>
    <row r="23" spans="7:17" x14ac:dyDescent="0.2">
      <c r="H23" t="s">
        <v>51</v>
      </c>
      <c r="I23" s="15">
        <f t="shared" ref="I23:I25" si="7">K22</f>
        <v>75000</v>
      </c>
      <c r="J23" s="15">
        <f>$K$20/5</f>
        <v>25000</v>
      </c>
      <c r="K23" s="15">
        <f t="shared" si="6"/>
        <v>50000</v>
      </c>
    </row>
    <row r="24" spans="7:17" x14ac:dyDescent="0.2">
      <c r="H24" t="s">
        <v>52</v>
      </c>
      <c r="I24" s="15">
        <f t="shared" si="7"/>
        <v>50000</v>
      </c>
      <c r="J24" s="15">
        <f>$K$20/5</f>
        <v>25000</v>
      </c>
      <c r="K24" s="15">
        <f t="shared" si="6"/>
        <v>25000</v>
      </c>
    </row>
    <row r="25" spans="7:17" x14ac:dyDescent="0.2">
      <c r="H25" t="s">
        <v>53</v>
      </c>
      <c r="I25" s="15">
        <f t="shared" si="7"/>
        <v>25000</v>
      </c>
      <c r="J25" s="15">
        <f>$K$20/5</f>
        <v>25000</v>
      </c>
      <c r="K25" s="15">
        <f t="shared" si="6"/>
        <v>0</v>
      </c>
    </row>
    <row r="28" spans="7:17" x14ac:dyDescent="0.2">
      <c r="G28" s="18" t="s">
        <v>182</v>
      </c>
      <c r="H28" s="18"/>
      <c r="I28" s="18"/>
      <c r="J28" s="18"/>
      <c r="K28" s="18"/>
      <c r="L28" s="18"/>
      <c r="M28" s="18"/>
      <c r="N28" s="18"/>
      <c r="O28" s="18"/>
      <c r="P28" s="18"/>
      <c r="Q28" s="18"/>
    </row>
  </sheetData>
  <pageMargins left="0.7" right="0.7" top="0.75" bottom="0.75" header="0.3" footer="0.3"/>
  <pageSetup scale="48"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95F0-9AD2-4006-A410-DBACF6A07999}">
  <dimension ref="A1:D16"/>
  <sheetViews>
    <sheetView workbookViewId="0">
      <selection activeCell="D17" sqref="D17"/>
    </sheetView>
  </sheetViews>
  <sheetFormatPr baseColWidth="10" defaultColWidth="8.83203125" defaultRowHeight="15" x14ac:dyDescent="0.2"/>
  <cols>
    <col min="1" max="1" width="8.5" customWidth="1"/>
    <col min="2" max="2" width="35" bestFit="1" customWidth="1"/>
    <col min="3" max="3" width="13.6640625" bestFit="1" customWidth="1"/>
    <col min="4" max="4" width="18.1640625" bestFit="1" customWidth="1"/>
  </cols>
  <sheetData>
    <row r="1" spans="1:4" x14ac:dyDescent="0.2">
      <c r="A1" t="s">
        <v>183</v>
      </c>
    </row>
    <row r="2" spans="1:4" x14ac:dyDescent="0.2">
      <c r="A2" t="s">
        <v>184</v>
      </c>
    </row>
    <row r="3" spans="1:4" x14ac:dyDescent="0.2">
      <c r="D3" t="s">
        <v>185</v>
      </c>
    </row>
    <row r="4" spans="1:4" x14ac:dyDescent="0.2">
      <c r="A4" t="s">
        <v>186</v>
      </c>
      <c r="C4" s="2"/>
      <c r="D4" s="2">
        <v>10956330</v>
      </c>
    </row>
    <row r="5" spans="1:4" x14ac:dyDescent="0.2">
      <c r="B5" t="s">
        <v>187</v>
      </c>
      <c r="C5" s="2">
        <v>2792790</v>
      </c>
      <c r="D5" s="2"/>
    </row>
    <row r="6" spans="1:4" x14ac:dyDescent="0.2">
      <c r="B6" t="s">
        <v>188</v>
      </c>
      <c r="C6" s="2">
        <v>859320</v>
      </c>
      <c r="D6" s="2"/>
    </row>
    <row r="7" spans="1:4" x14ac:dyDescent="0.2">
      <c r="B7" t="s">
        <v>189</v>
      </c>
      <c r="C7" s="2">
        <v>214830</v>
      </c>
      <c r="D7" s="2"/>
    </row>
    <row r="8" spans="1:4" x14ac:dyDescent="0.2">
      <c r="B8" t="s">
        <v>190</v>
      </c>
      <c r="C8" s="2"/>
      <c r="D8" s="2">
        <v>3866940</v>
      </c>
    </row>
    <row r="9" spans="1:4" x14ac:dyDescent="0.2">
      <c r="A9" t="s">
        <v>191</v>
      </c>
      <c r="C9" s="2"/>
      <c r="D9" s="2"/>
    </row>
    <row r="10" spans="1:4" x14ac:dyDescent="0.2">
      <c r="B10" t="s">
        <v>192</v>
      </c>
      <c r="C10" s="2">
        <v>1000000</v>
      </c>
      <c r="D10" s="2"/>
    </row>
    <row r="11" spans="1:4" x14ac:dyDescent="0.2">
      <c r="B11" t="s">
        <v>193</v>
      </c>
      <c r="C11" s="2">
        <v>850000</v>
      </c>
      <c r="D11" s="2"/>
    </row>
    <row r="12" spans="1:4" x14ac:dyDescent="0.2">
      <c r="B12" t="s">
        <v>194</v>
      </c>
      <c r="C12" s="2">
        <v>1500000</v>
      </c>
      <c r="D12" s="2"/>
    </row>
    <row r="13" spans="1:4" x14ac:dyDescent="0.2">
      <c r="B13" t="s">
        <v>195</v>
      </c>
      <c r="C13" s="2">
        <v>1250000</v>
      </c>
      <c r="D13" s="2"/>
    </row>
    <row r="14" spans="1:4" x14ac:dyDescent="0.2">
      <c r="B14" t="s">
        <v>196</v>
      </c>
      <c r="C14" s="2">
        <v>1754470</v>
      </c>
      <c r="D14" s="2"/>
    </row>
    <row r="15" spans="1:4" x14ac:dyDescent="0.2">
      <c r="B15" t="s">
        <v>32</v>
      </c>
      <c r="C15" s="2"/>
      <c r="D15" s="2">
        <v>6354470</v>
      </c>
    </row>
    <row r="16" spans="1:4" x14ac:dyDescent="0.2">
      <c r="A16" t="s">
        <v>62</v>
      </c>
      <c r="C16" s="2"/>
      <c r="D16" s="2">
        <v>734920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 used S22</vt:lpstr>
      <vt:lpstr>Lease vs. Buy HP</vt:lpstr>
      <vt:lpstr>Lease vs. Buy MSFT</vt:lpstr>
      <vt:lpstr>Webflix</vt:lpstr>
      <vt:lpstr>Alpha and Bravo</vt:lpstr>
      <vt:lpstr>Variance Analysis OLD</vt:lpstr>
      <vt:lpstr>Lease vs. Buy OLD</vt:lpstr>
      <vt:lpstr>Sensitivity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Salamone</dc:creator>
  <cp:keywords/>
  <dc:description/>
  <cp:lastModifiedBy>shreya Punj</cp:lastModifiedBy>
  <cp:revision/>
  <dcterms:created xsi:type="dcterms:W3CDTF">2021-04-13T22:59:18Z</dcterms:created>
  <dcterms:modified xsi:type="dcterms:W3CDTF">2025-12-10T20:59:04Z</dcterms:modified>
  <cp:category/>
  <cp:contentStatus/>
</cp:coreProperties>
</file>