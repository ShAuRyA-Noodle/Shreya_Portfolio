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eyapunj/Desktop/"/>
    </mc:Choice>
  </mc:AlternateContent>
  <xr:revisionPtr revIDLastSave="0" documentId="8_{23D5E78B-EAF5-A341-938E-B3096F8C7210}" xr6:coauthVersionLast="47" xr6:coauthVersionMax="47" xr10:uidLastSave="{00000000-0000-0000-0000-000000000000}"/>
  <bookViews>
    <workbookView xWindow="0" yWindow="500" windowWidth="28800" windowHeight="16020" activeTab="1" xr2:uid="{00000000-000D-0000-FFFF-FFFF00000000}"/>
  </bookViews>
  <sheets>
    <sheet name="Table 1" sheetId="1" state="hidden" r:id="rId1"/>
    <sheet name="Base Spreadshee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4" l="1"/>
  <c r="N23" i="4"/>
  <c r="N18" i="4"/>
  <c r="N19" i="4"/>
  <c r="N20" i="4"/>
  <c r="N17" i="4"/>
  <c r="L42" i="4"/>
  <c r="L41" i="4"/>
  <c r="L40" i="4"/>
  <c r="L39" i="4"/>
  <c r="J42" i="4"/>
  <c r="J41" i="4"/>
  <c r="J40" i="4"/>
  <c r="J39" i="4"/>
  <c r="H42" i="4"/>
  <c r="H41" i="4"/>
  <c r="H40" i="4"/>
  <c r="H39" i="4"/>
  <c r="F42" i="4"/>
  <c r="F41" i="4"/>
  <c r="F40" i="4"/>
  <c r="F39" i="4"/>
  <c r="D42" i="4"/>
  <c r="D41" i="4"/>
  <c r="D40" i="4"/>
  <c r="L34" i="4"/>
  <c r="L33" i="4"/>
  <c r="L32" i="4"/>
  <c r="L31" i="4"/>
  <c r="L30" i="4"/>
  <c r="J34" i="4"/>
  <c r="J33" i="4"/>
  <c r="J32" i="4"/>
  <c r="J31" i="4"/>
  <c r="J30" i="4"/>
  <c r="H34" i="4"/>
  <c r="H33" i="4"/>
  <c r="H32" i="4"/>
  <c r="H31" i="4"/>
  <c r="H30" i="4"/>
  <c r="F34" i="4"/>
  <c r="F33" i="4"/>
  <c r="F32" i="4"/>
  <c r="F31" i="4"/>
  <c r="F30" i="4"/>
  <c r="D34" i="4"/>
  <c r="D33" i="4"/>
  <c r="D32" i="4"/>
  <c r="D31" i="4"/>
  <c r="M23" i="4"/>
  <c r="M25" i="4"/>
  <c r="L25" i="4"/>
  <c r="L23" i="4"/>
  <c r="K25" i="4"/>
  <c r="K23" i="4"/>
  <c r="J25" i="4"/>
  <c r="J23" i="4"/>
  <c r="I25" i="4"/>
  <c r="H25" i="4"/>
  <c r="G25" i="4"/>
  <c r="I23" i="4"/>
  <c r="H23" i="4"/>
  <c r="G23" i="4"/>
  <c r="F25" i="4"/>
  <c r="F23" i="4"/>
  <c r="E25" i="4"/>
  <c r="E23" i="4"/>
  <c r="E6" i="4"/>
  <c r="N12" i="4"/>
  <c r="N14" i="4"/>
  <c r="M12" i="4"/>
  <c r="M14" i="4"/>
  <c r="M17" i="4"/>
  <c r="M18" i="4"/>
  <c r="M19" i="4"/>
  <c r="M20" i="4"/>
  <c r="I12" i="4"/>
  <c r="I14" i="4"/>
  <c r="I17" i="4"/>
  <c r="I18" i="4"/>
  <c r="I19" i="4"/>
  <c r="I20" i="4"/>
  <c r="G12" i="4"/>
  <c r="G14" i="4"/>
  <c r="G17" i="4"/>
  <c r="G18" i="4"/>
  <c r="G19" i="4"/>
  <c r="G20" i="4"/>
  <c r="E12" i="4"/>
  <c r="E17" i="4"/>
  <c r="E18" i="4"/>
  <c r="E19" i="4"/>
  <c r="N10" i="4"/>
  <c r="M10" i="4"/>
  <c r="K10" i="4"/>
  <c r="I10" i="4"/>
  <c r="G10" i="4"/>
  <c r="E7" i="4"/>
  <c r="E8" i="4"/>
  <c r="E9" i="4"/>
  <c r="E10" i="4"/>
  <c r="K12" i="4"/>
  <c r="K17" i="4"/>
  <c r="K18" i="4"/>
  <c r="K19" i="4"/>
  <c r="K7" i="4"/>
  <c r="K8" i="4"/>
  <c r="K9" i="4"/>
  <c r="K6" i="4"/>
  <c r="I7" i="4"/>
  <c r="I8" i="4"/>
  <c r="I9" i="4"/>
  <c r="I6" i="4"/>
  <c r="G7" i="4"/>
  <c r="G8" i="4"/>
  <c r="G9" i="4"/>
  <c r="G6" i="4"/>
  <c r="D39" i="4"/>
  <c r="N7" i="4"/>
  <c r="N8" i="4"/>
  <c r="N9" i="4"/>
  <c r="N6" i="4"/>
  <c r="D25" i="4"/>
  <c r="D23" i="4"/>
  <c r="D30" i="4"/>
  <c r="M7" i="4"/>
  <c r="M8" i="4"/>
  <c r="M9" i="4"/>
  <c r="M6" i="4"/>
  <c r="A43" i="4"/>
  <c r="L19" i="4"/>
  <c r="J19" i="4"/>
  <c r="H19" i="4"/>
  <c r="F19" i="4"/>
  <c r="D19" i="4"/>
  <c r="D14" i="4"/>
  <c r="D20" i="4" s="1"/>
  <c r="F10" i="4"/>
  <c r="H10" i="4"/>
  <c r="H14" i="4" s="1"/>
  <c r="H35" i="4" s="1"/>
  <c r="J10" i="4"/>
  <c r="L10" i="4"/>
  <c r="L14" i="4" s="1"/>
  <c r="L35" i="4" s="1"/>
  <c r="D10" i="4"/>
  <c r="D43" i="4" s="1"/>
  <c r="H43" i="4" l="1"/>
  <c r="J43" i="4"/>
  <c r="L43" i="4"/>
  <c r="D35" i="4"/>
  <c r="F43" i="4"/>
  <c r="H20" i="4"/>
  <c r="J14" i="4"/>
  <c r="K14" i="4" s="1"/>
  <c r="F14" i="4"/>
  <c r="L20" i="4"/>
  <c r="F35" i="4" l="1"/>
  <c r="E14" i="4"/>
  <c r="J20" i="4"/>
  <c r="K20" i="4" s="1"/>
  <c r="J35" i="4"/>
  <c r="F20" i="4"/>
  <c r="E20" i="4" s="1"/>
</calcChain>
</file>

<file path=xl/sharedStrings.xml><?xml version="1.0" encoding="utf-8"?>
<sst xmlns="http://schemas.openxmlformats.org/spreadsheetml/2006/main" count="210" uniqueCount="154">
  <si>
    <r>
      <rPr>
        <b/>
        <sz val="9"/>
        <rFont val="Arial"/>
        <family val="2"/>
      </rPr>
      <t>CONSOLIDATED STATEMENTS OF OPERATIONS</t>
    </r>
  </si>
  <si>
    <r>
      <rPr>
        <sz val="9"/>
        <rFont val="Arial"/>
        <family val="2"/>
      </rPr>
      <t>(In millions, except number of shares which are reflected in thousands and per share amounts)</t>
    </r>
  </si>
  <si>
    <r>
      <rPr>
        <b/>
        <sz val="8"/>
        <rFont val="Arial"/>
        <family val="2"/>
      </rPr>
      <t>Years ended</t>
    </r>
  </si>
  <si>
    <r>
      <rPr>
        <b/>
        <sz val="8"/>
        <rFont val="Arial"/>
        <family val="2"/>
      </rPr>
      <t xml:space="preserve">September 24,
</t>
    </r>
    <r>
      <rPr>
        <b/>
        <sz val="8"/>
        <rFont val="Arial"/>
        <family val="2"/>
      </rPr>
      <t>2022</t>
    </r>
  </si>
  <si>
    <r>
      <rPr>
        <b/>
        <sz val="8"/>
        <rFont val="Arial"/>
        <family val="2"/>
      </rPr>
      <t xml:space="preserve">September 25,
</t>
    </r>
    <r>
      <rPr>
        <b/>
        <sz val="8"/>
        <rFont val="Arial"/>
        <family val="2"/>
      </rPr>
      <t>2021</t>
    </r>
  </si>
  <si>
    <r>
      <rPr>
        <b/>
        <sz val="8"/>
        <rFont val="Arial"/>
        <family val="2"/>
      </rPr>
      <t xml:space="preserve">September 26,
</t>
    </r>
    <r>
      <rPr>
        <b/>
        <sz val="8"/>
        <rFont val="Arial"/>
        <family val="2"/>
      </rPr>
      <t>2020</t>
    </r>
  </si>
  <si>
    <r>
      <rPr>
        <sz val="9"/>
        <rFont val="Arial"/>
        <family val="2"/>
      </rPr>
      <t>Net sales:</t>
    </r>
  </si>
  <si>
    <r>
      <rPr>
        <sz val="9"/>
        <rFont val="Arial"/>
        <family val="2"/>
      </rPr>
      <t>Products</t>
    </r>
  </si>
  <si>
    <r>
      <rPr>
        <sz val="9"/>
        <rFont val="Arial"/>
        <family val="2"/>
      </rPr>
      <t>$        316,199</t>
    </r>
  </si>
  <si>
    <r>
      <rPr>
        <sz val="9"/>
        <rFont val="Arial"/>
        <family val="2"/>
      </rPr>
      <t>$        297,392</t>
    </r>
  </si>
  <si>
    <r>
      <rPr>
        <sz val="9"/>
        <rFont val="Arial"/>
        <family val="2"/>
      </rPr>
      <t>$        220,747</t>
    </r>
  </si>
  <si>
    <r>
      <rPr>
        <sz val="9"/>
        <rFont val="Arial"/>
        <family val="2"/>
      </rPr>
      <t>Services</t>
    </r>
  </si>
  <si>
    <r>
      <rPr>
        <sz val="9"/>
        <rFont val="Arial"/>
        <family val="2"/>
      </rPr>
      <t>Total net sales</t>
    </r>
  </si>
  <si>
    <r>
      <rPr>
        <sz val="9"/>
        <rFont val="Arial"/>
        <family val="2"/>
      </rPr>
      <t>Cost of sales:</t>
    </r>
  </si>
  <si>
    <r>
      <rPr>
        <sz val="9"/>
        <rFont val="Arial"/>
        <family val="2"/>
      </rPr>
      <t>Total cost of sales</t>
    </r>
  </si>
  <si>
    <r>
      <rPr>
        <sz val="9"/>
        <rFont val="Arial"/>
        <family val="2"/>
      </rPr>
      <t>Gross margin</t>
    </r>
  </si>
  <si>
    <r>
      <rPr>
        <sz val="9"/>
        <rFont val="Arial"/>
        <family val="2"/>
      </rPr>
      <t>Operating expenses:</t>
    </r>
  </si>
  <si>
    <r>
      <rPr>
        <sz val="9"/>
        <rFont val="Arial"/>
        <family val="2"/>
      </rPr>
      <t>Research and development</t>
    </r>
  </si>
  <si>
    <r>
      <rPr>
        <sz val="9"/>
        <rFont val="Arial"/>
        <family val="2"/>
      </rPr>
      <t>Selling, general and administrative</t>
    </r>
  </si>
  <si>
    <r>
      <rPr>
        <sz val="9"/>
        <rFont val="Arial"/>
        <family val="2"/>
      </rPr>
      <t>Total operating expenses</t>
    </r>
  </si>
  <si>
    <r>
      <rPr>
        <sz val="9"/>
        <rFont val="Arial"/>
        <family val="2"/>
      </rPr>
      <t>Operating income</t>
    </r>
  </si>
  <si>
    <r>
      <rPr>
        <sz val="9"/>
        <rFont val="Arial"/>
        <family val="2"/>
      </rPr>
      <t>Other income/(expense), net</t>
    </r>
  </si>
  <si>
    <r>
      <rPr>
        <sz val="9"/>
        <rFont val="Arial"/>
        <family val="2"/>
      </rPr>
      <t>Income before provision for income taxes</t>
    </r>
  </si>
  <si>
    <r>
      <rPr>
        <sz val="9"/>
        <rFont val="Arial"/>
        <family val="2"/>
      </rPr>
      <t>Provision for income taxes</t>
    </r>
  </si>
  <si>
    <r>
      <rPr>
        <sz val="9"/>
        <rFont val="Arial"/>
        <family val="2"/>
      </rPr>
      <t>Net income</t>
    </r>
  </si>
  <si>
    <r>
      <rPr>
        <u/>
        <sz val="9"/>
        <rFont val="Arial"/>
        <family val="2"/>
      </rPr>
      <t> $ </t>
    </r>
  </si>
  <si>
    <r>
      <rPr>
        <sz val="9"/>
        <rFont val="Arial"/>
        <family val="2"/>
      </rPr>
      <t>Earnings per share:</t>
    </r>
  </si>
  <si>
    <r>
      <rPr>
        <sz val="9"/>
        <rFont val="Arial"/>
        <family val="2"/>
      </rPr>
      <t>Basic</t>
    </r>
  </si>
  <si>
    <r>
      <rPr>
        <sz val="9"/>
        <rFont val="Arial"/>
        <family val="2"/>
      </rPr>
      <t>$</t>
    </r>
  </si>
  <si>
    <r>
      <rPr>
        <sz val="9"/>
        <rFont val="Arial"/>
        <family val="2"/>
      </rPr>
      <t>Diluted</t>
    </r>
  </si>
  <si>
    <r>
      <rPr>
        <sz val="9"/>
        <rFont val="Arial"/>
        <family val="2"/>
      </rPr>
      <t>Shares used in computing earnings per share:</t>
    </r>
  </si>
  <si>
    <r>
      <rPr>
        <sz val="9"/>
        <rFont val="Arial"/>
        <family val="2"/>
      </rPr>
      <t>See accompanying Notes to Consolidated Financial Statements.</t>
    </r>
  </si>
  <si>
    <r>
      <rPr>
        <b/>
        <sz val="9"/>
        <rFont val="Arial"/>
        <family val="2"/>
      </rPr>
      <t>CONSOLIDATED STATEMENTS OF COMPREHENSIVE INCOME</t>
    </r>
  </si>
  <si>
    <r>
      <rPr>
        <sz val="9"/>
        <rFont val="Arial"/>
        <family val="2"/>
      </rPr>
      <t>(In millions)</t>
    </r>
  </si>
  <si>
    <r>
      <rPr>
        <sz val="9"/>
        <rFont val="Arial"/>
        <family val="2"/>
      </rPr>
      <t>$          99,803</t>
    </r>
  </si>
  <si>
    <r>
      <rPr>
        <sz val="9"/>
        <rFont val="Arial"/>
        <family val="2"/>
      </rPr>
      <t>$          94,680</t>
    </r>
  </si>
  <si>
    <r>
      <rPr>
        <sz val="9"/>
        <rFont val="Arial"/>
        <family val="2"/>
      </rPr>
      <t>$          57,411</t>
    </r>
  </si>
  <si>
    <r>
      <rPr>
        <sz val="9"/>
        <rFont val="Arial"/>
        <family val="2"/>
      </rPr>
      <t>Other comprehensive income/(loss):</t>
    </r>
  </si>
  <si>
    <r>
      <rPr>
        <sz val="9"/>
        <rFont val="Arial"/>
        <family val="2"/>
      </rPr>
      <t>Change in foreign currency translation, net of tax</t>
    </r>
  </si>
  <si>
    <r>
      <rPr>
        <sz val="9"/>
        <rFont val="Arial"/>
        <family val="2"/>
      </rPr>
      <t>Change in unrealized gains/losses on derivative instruments, net of tax:</t>
    </r>
  </si>
  <si>
    <r>
      <rPr>
        <sz val="9"/>
        <rFont val="Arial"/>
        <family val="2"/>
      </rPr>
      <t>Change in fair value of derivative instruments</t>
    </r>
  </si>
  <si>
    <r>
      <rPr>
        <sz val="9"/>
        <rFont val="Arial"/>
        <family val="2"/>
      </rPr>
      <t>Adjustment for net (gains)/losses realized and included in net income</t>
    </r>
  </si>
  <si>
    <r>
      <rPr>
        <sz val="9"/>
        <rFont val="Arial"/>
        <family val="2"/>
      </rPr>
      <t xml:space="preserve">Total change in unrealized gains/losses on derivative
</t>
    </r>
    <r>
      <rPr>
        <sz val="9"/>
        <rFont val="Arial"/>
        <family val="2"/>
      </rPr>
      <t>instruments                                                                                           2,138                  1,035                 (1,185)</t>
    </r>
  </si>
  <si>
    <r>
      <rPr>
        <sz val="9"/>
        <rFont val="Arial"/>
        <family val="2"/>
      </rPr>
      <t>Change in unrealized gains/losses on marketable debt securities, net of tax:</t>
    </r>
  </si>
  <si>
    <r>
      <rPr>
        <sz val="9"/>
        <rFont val="Arial"/>
        <family val="2"/>
      </rPr>
      <t>Change in fair value of marketable debt securities</t>
    </r>
  </si>
  <si>
    <r>
      <rPr>
        <sz val="9"/>
        <rFont val="Arial"/>
        <family val="2"/>
      </rPr>
      <t>Total change in unrealized gains/losses on marketable debt</t>
    </r>
  </si>
  <si>
    <r>
      <rPr>
        <sz val="9"/>
        <rFont val="Arial"/>
        <family val="2"/>
      </rPr>
      <t>securities                                                                                            (11,899)                   (967)                 1,139</t>
    </r>
  </si>
  <si>
    <r>
      <rPr>
        <sz val="9"/>
        <rFont val="Arial"/>
        <family val="2"/>
      </rPr>
      <t>Total other comprehensive income/(loss)</t>
    </r>
  </si>
  <si>
    <r>
      <rPr>
        <sz val="9"/>
        <rFont val="Arial"/>
        <family val="2"/>
      </rPr>
      <t>Total comprehensive income</t>
    </r>
  </si>
  <si>
    <r>
      <rPr>
        <sz val="9"/>
        <rFont val="Arial"/>
        <family val="2"/>
      </rPr>
      <t>$          57,453</t>
    </r>
  </si>
  <si>
    <r>
      <rPr>
        <b/>
        <sz val="9"/>
        <rFont val="Arial"/>
        <family val="2"/>
      </rPr>
      <t>CONSOLIDATED BALANCE SHEETS</t>
    </r>
  </si>
  <si>
    <r>
      <rPr>
        <sz val="9"/>
        <rFont val="Arial"/>
        <family val="2"/>
      </rPr>
      <t>(In millions, except number of shares which are reflected in thousands and par value)</t>
    </r>
  </si>
  <si>
    <r>
      <rPr>
        <b/>
        <sz val="9"/>
        <rFont val="Arial"/>
        <family val="2"/>
      </rPr>
      <t>ASSETS:</t>
    </r>
  </si>
  <si>
    <r>
      <rPr>
        <sz val="9"/>
        <rFont val="Arial"/>
        <family val="2"/>
      </rPr>
      <t>Current assets:</t>
    </r>
  </si>
  <si>
    <r>
      <rPr>
        <sz val="9"/>
        <rFont val="Arial"/>
        <family val="2"/>
      </rPr>
      <t>Cash and cash equivalents</t>
    </r>
  </si>
  <si>
    <r>
      <rPr>
        <sz val="9"/>
        <rFont val="Arial"/>
        <family val="2"/>
      </rPr>
      <t>$            23,646</t>
    </r>
  </si>
  <si>
    <r>
      <rPr>
        <sz val="9"/>
        <rFont val="Arial"/>
        <family val="2"/>
      </rPr>
      <t>$            34,940</t>
    </r>
  </si>
  <si>
    <r>
      <rPr>
        <sz val="9"/>
        <rFont val="Arial"/>
        <family val="2"/>
      </rPr>
      <t>Marketable securities</t>
    </r>
  </si>
  <si>
    <r>
      <rPr>
        <sz val="9"/>
        <rFont val="Arial"/>
        <family val="2"/>
      </rPr>
      <t>Accounts receivable, net</t>
    </r>
  </si>
  <si>
    <r>
      <rPr>
        <sz val="9"/>
        <rFont val="Arial"/>
        <family val="2"/>
      </rPr>
      <t>Inventories</t>
    </r>
  </si>
  <si>
    <r>
      <rPr>
        <sz val="9"/>
        <rFont val="Arial"/>
        <family val="2"/>
      </rPr>
      <t>Vendor non-trade receivables</t>
    </r>
  </si>
  <si>
    <r>
      <rPr>
        <sz val="9"/>
        <rFont val="Arial"/>
        <family val="2"/>
      </rPr>
      <t>Other current assets</t>
    </r>
  </si>
  <si>
    <r>
      <rPr>
        <sz val="9"/>
        <rFont val="Arial"/>
        <family val="2"/>
      </rPr>
      <t>Total current assets</t>
    </r>
  </si>
  <si>
    <r>
      <rPr>
        <sz val="9"/>
        <rFont val="Arial"/>
        <family val="2"/>
      </rPr>
      <t>Non-current assets:</t>
    </r>
  </si>
  <si>
    <r>
      <rPr>
        <sz val="9"/>
        <rFont val="Arial"/>
        <family val="2"/>
      </rPr>
      <t xml:space="preserve">Marketable securities
</t>
    </r>
    <r>
      <rPr>
        <sz val="9"/>
        <rFont val="Arial"/>
        <family val="2"/>
      </rPr>
      <t xml:space="preserve">Property, plant and equipment, net Other non-current assets
</t>
    </r>
    <r>
      <rPr>
        <sz val="9"/>
        <rFont val="Arial"/>
        <family val="2"/>
      </rPr>
      <t>Total non-current assets</t>
    </r>
  </si>
  <si>
    <r>
      <rPr>
        <sz val="9"/>
        <rFont val="Arial"/>
        <family val="2"/>
      </rPr>
      <t>Total assets</t>
    </r>
  </si>
  <si>
    <r>
      <rPr>
        <sz val="9"/>
        <rFont val="Arial"/>
        <family val="2"/>
      </rPr>
      <t>$          351,002</t>
    </r>
  </si>
  <si>
    <r>
      <rPr>
        <sz val="9"/>
        <rFont val="Arial"/>
        <family val="2"/>
      </rPr>
      <t>rent liabilities:</t>
    </r>
  </si>
  <si>
    <r>
      <rPr>
        <b/>
        <sz val="9"/>
        <rFont val="Arial"/>
        <family val="2"/>
      </rPr>
      <t>LIABILITIES AND SHAREHOLDERS’ EQUITY:</t>
    </r>
  </si>
  <si>
    <r>
      <rPr>
        <sz val="9"/>
        <rFont val="Arial"/>
        <family val="2"/>
      </rPr>
      <t>Accounts payable</t>
    </r>
  </si>
  <si>
    <r>
      <rPr>
        <sz val="9"/>
        <rFont val="Arial"/>
        <family val="2"/>
      </rPr>
      <t>$            54,763</t>
    </r>
  </si>
  <si>
    <r>
      <rPr>
        <sz val="9"/>
        <rFont val="Arial"/>
        <family val="2"/>
      </rPr>
      <t>Other current liabilities</t>
    </r>
  </si>
  <si>
    <r>
      <rPr>
        <sz val="9"/>
        <rFont val="Arial"/>
        <family val="2"/>
      </rPr>
      <t>Deferred revenue</t>
    </r>
  </si>
  <si>
    <r>
      <rPr>
        <sz val="9"/>
        <rFont val="Arial"/>
        <family val="2"/>
      </rPr>
      <t>Commercial paper</t>
    </r>
  </si>
  <si>
    <r>
      <rPr>
        <sz val="9"/>
        <rFont val="Arial"/>
        <family val="2"/>
      </rPr>
      <t>Term debt</t>
    </r>
  </si>
  <si>
    <r>
      <rPr>
        <sz val="9"/>
        <rFont val="Arial"/>
        <family val="2"/>
      </rPr>
      <t xml:space="preserve">Total current liabilities
</t>
    </r>
    <r>
      <rPr>
        <sz val="9"/>
        <rFont val="Arial"/>
        <family val="2"/>
      </rPr>
      <t>n-current liabilities:</t>
    </r>
  </si>
  <si>
    <r>
      <rPr>
        <sz val="9"/>
        <rFont val="Arial"/>
        <family val="2"/>
      </rPr>
      <t>Other non-current liabilities</t>
    </r>
  </si>
  <si>
    <r>
      <rPr>
        <sz val="9"/>
        <rFont val="Arial"/>
        <family val="2"/>
      </rPr>
      <t>Total non-current liabilities</t>
    </r>
  </si>
  <si>
    <r>
      <rPr>
        <sz val="9"/>
        <rFont val="Arial"/>
        <family val="2"/>
      </rPr>
      <t>Total liabilities</t>
    </r>
  </si>
  <si>
    <r>
      <rPr>
        <sz val="9"/>
        <rFont val="Arial"/>
        <family val="2"/>
      </rPr>
      <t>Cur</t>
    </r>
  </si>
  <si>
    <r>
      <rPr>
        <sz val="9"/>
        <rFont val="Arial"/>
        <family val="2"/>
      </rPr>
      <t>No</t>
    </r>
  </si>
  <si>
    <r>
      <rPr>
        <sz val="9"/>
        <rFont val="Arial"/>
        <family val="2"/>
      </rPr>
      <t>Commitments and contingencies</t>
    </r>
  </si>
  <si>
    <r>
      <rPr>
        <sz val="9"/>
        <rFont val="Arial"/>
        <family val="2"/>
      </rPr>
      <t>Shareholders’ equity:</t>
    </r>
  </si>
  <si>
    <r>
      <rPr>
        <sz val="9"/>
        <rFont val="Arial"/>
        <family val="2"/>
      </rPr>
      <t>Common stock and additional paid-in capital, $0.00001 par value: 50,400,000 shares</t>
    </r>
  </si>
  <si>
    <r>
      <rPr>
        <sz val="9"/>
        <rFont val="Arial"/>
        <family val="2"/>
      </rPr>
      <t>authorized; 15,943,425 and 16,426,786 shares issued and outstanding, respectively</t>
    </r>
  </si>
  <si>
    <r>
      <rPr>
        <sz val="9"/>
        <rFont val="Arial"/>
        <family val="2"/>
      </rPr>
      <t>Retained earnings/(Accumulated deficit)</t>
    </r>
  </si>
  <si>
    <r>
      <rPr>
        <sz val="9"/>
        <rFont val="Arial"/>
        <family val="2"/>
      </rPr>
      <t>Accumulated other comprehensive income/(loss)</t>
    </r>
  </si>
  <si>
    <r>
      <rPr>
        <sz val="9"/>
        <rFont val="Arial"/>
        <family val="2"/>
      </rPr>
      <t>Total shareholders’ equity</t>
    </r>
  </si>
  <si>
    <r>
      <rPr>
        <sz val="9"/>
        <rFont val="Arial"/>
        <family val="2"/>
      </rPr>
      <t>Total liabilities and shareholders’ equity</t>
    </r>
  </si>
  <si>
    <r>
      <rPr>
        <b/>
        <sz val="9"/>
        <rFont val="Arial"/>
        <family val="2"/>
      </rPr>
      <t>CONSOLIDATED STATEMENTS OF SHAREHOLDERS’ EQUITY</t>
    </r>
  </si>
  <si>
    <r>
      <rPr>
        <sz val="9"/>
        <rFont val="Arial"/>
        <family val="2"/>
      </rPr>
      <t>(In millions, except per share amounts)</t>
    </r>
  </si>
  <si>
    <r>
      <rPr>
        <b/>
        <sz val="8"/>
        <rFont val="Arial"/>
        <family val="2"/>
      </rPr>
      <t>September 24,</t>
    </r>
  </si>
  <si>
    <r>
      <rPr>
        <b/>
        <sz val="8"/>
        <rFont val="Arial"/>
        <family val="2"/>
      </rPr>
      <t>September 25,</t>
    </r>
  </si>
  <si>
    <r>
      <rPr>
        <b/>
        <sz val="8"/>
        <rFont val="Arial"/>
        <family val="2"/>
      </rPr>
      <t>September 26,</t>
    </r>
  </si>
  <si>
    <r>
      <rPr>
        <sz val="9"/>
        <rFont val="Arial"/>
        <family val="2"/>
      </rPr>
      <t>Total shareholders’ equity, beginning balances                                                 $          63,090    $          65,339    $          90,488</t>
    </r>
  </si>
  <si>
    <r>
      <rPr>
        <sz val="9"/>
        <rFont val="Arial"/>
        <family val="2"/>
      </rPr>
      <t>Common stock and additional paid-in capital:</t>
    </r>
  </si>
  <si>
    <r>
      <rPr>
        <sz val="9"/>
        <rFont val="Arial"/>
        <family val="2"/>
      </rPr>
      <t>Beginning balances</t>
    </r>
  </si>
  <si>
    <r>
      <rPr>
        <sz val="9"/>
        <rFont val="Arial"/>
        <family val="2"/>
      </rPr>
      <t>Common stock issued</t>
    </r>
  </si>
  <si>
    <r>
      <rPr>
        <sz val="9"/>
        <rFont val="Arial"/>
        <family val="2"/>
      </rPr>
      <t>Common stock withheld related to net share settlement of equity awards</t>
    </r>
  </si>
  <si>
    <r>
      <rPr>
        <sz val="9"/>
        <rFont val="Arial"/>
        <family val="2"/>
      </rPr>
      <t>Share-based compensation</t>
    </r>
  </si>
  <si>
    <r>
      <rPr>
        <sz val="9"/>
        <rFont val="Arial"/>
        <family val="2"/>
      </rPr>
      <t xml:space="preserve">Ending balances
</t>
    </r>
    <r>
      <rPr>
        <sz val="9"/>
        <rFont val="Arial"/>
        <family val="2"/>
      </rPr>
      <t>ained earnings/(Accumulated deficit):</t>
    </r>
  </si>
  <si>
    <r>
      <rPr>
        <sz val="9"/>
        <rFont val="Arial"/>
        <family val="2"/>
      </rPr>
      <t>Dividends and dividend equivalents declared</t>
    </r>
  </si>
  <si>
    <r>
      <rPr>
        <sz val="9"/>
        <rFont val="Arial"/>
        <family val="2"/>
      </rPr>
      <t>Common stock repurchased</t>
    </r>
  </si>
  <si>
    <r>
      <rPr>
        <sz val="9"/>
        <rFont val="Arial"/>
        <family val="2"/>
      </rPr>
      <t>Cumulative effect of change in accounting principle</t>
    </r>
  </si>
  <si>
    <r>
      <rPr>
        <sz val="9"/>
        <rFont val="Arial"/>
        <family val="2"/>
      </rPr>
      <t>—</t>
    </r>
  </si>
  <si>
    <r>
      <rPr>
        <sz val="9"/>
        <rFont val="Arial"/>
        <family val="2"/>
      </rPr>
      <t xml:space="preserve">Ending balances
</t>
    </r>
    <r>
      <rPr>
        <sz val="9"/>
        <rFont val="Arial"/>
        <family val="2"/>
      </rPr>
      <t>umulated other comprehensive income/(loss):</t>
    </r>
  </si>
  <si>
    <r>
      <rPr>
        <sz val="9"/>
        <rFont val="Arial"/>
        <family val="2"/>
      </rPr>
      <t>Other comprehensive income/(loss)</t>
    </r>
  </si>
  <si>
    <r>
      <rPr>
        <sz val="9"/>
        <rFont val="Arial"/>
        <family val="2"/>
      </rPr>
      <t>Ending balances</t>
    </r>
  </si>
  <si>
    <r>
      <rPr>
        <sz val="9"/>
        <rFont val="Arial"/>
        <family val="2"/>
      </rPr>
      <t xml:space="preserve">al shareholders’ equity, ending balances                                                      </t>
    </r>
    <r>
      <rPr>
        <u/>
        <sz val="9"/>
        <rFont val="Arial"/>
        <family val="2"/>
      </rPr>
      <t>$          50,672    $          63,090    $          65,339</t>
    </r>
  </si>
  <si>
    <r>
      <rPr>
        <sz val="9"/>
        <rFont val="Arial"/>
        <family val="2"/>
      </rPr>
      <t>Ret</t>
    </r>
  </si>
  <si>
    <r>
      <rPr>
        <sz val="9"/>
        <rFont val="Arial"/>
        <family val="2"/>
      </rPr>
      <t>Acc</t>
    </r>
  </si>
  <si>
    <r>
      <rPr>
        <sz val="9"/>
        <rFont val="Arial"/>
        <family val="2"/>
      </rPr>
      <t>Tot</t>
    </r>
  </si>
  <si>
    <r>
      <rPr>
        <sz val="9"/>
        <rFont val="Arial"/>
        <family val="2"/>
      </rPr>
      <t>Dividends and dividend equivalents declared per share or RSU                       $              0.90    $              0.85    $            0.795</t>
    </r>
  </si>
  <si>
    <r>
      <rPr>
        <b/>
        <sz val="9"/>
        <rFont val="Arial"/>
        <family val="2"/>
      </rPr>
      <t>CONSOLIDATED STATEMENTS OF CASH FLOWS</t>
    </r>
  </si>
  <si>
    <r>
      <rPr>
        <sz val="9"/>
        <rFont val="Arial"/>
        <family val="2"/>
      </rPr>
      <t>Cash, cash equivalents and restricted cash, beginning balances                             $            35,929    $            39,789    $            50,224</t>
    </r>
  </si>
  <si>
    <r>
      <rPr>
        <sz val="9"/>
        <rFont val="Arial"/>
        <family val="2"/>
      </rPr>
      <t>Operating activities:</t>
    </r>
  </si>
  <si>
    <r>
      <rPr>
        <sz val="9"/>
        <rFont val="Arial"/>
        <family val="2"/>
      </rPr>
      <t xml:space="preserve">Net income
</t>
    </r>
    <r>
      <rPr>
        <sz val="9"/>
        <rFont val="Arial"/>
        <family val="2"/>
      </rPr>
      <t xml:space="preserve">Adjustments to reconcile net income to cash generated by operating activities: Depreciation and amortization
</t>
    </r>
    <r>
      <rPr>
        <sz val="9"/>
        <rFont val="Arial"/>
        <family val="2"/>
      </rPr>
      <t xml:space="preserve">Share-based compensation expense Deferred income tax expense/(benefit) Other
</t>
    </r>
    <r>
      <rPr>
        <sz val="9"/>
        <rFont val="Arial"/>
        <family val="2"/>
      </rPr>
      <t xml:space="preserve">Changes in operating assets and liabilities: Accounts receivable, net
</t>
    </r>
    <r>
      <rPr>
        <sz val="9"/>
        <rFont val="Arial"/>
        <family val="2"/>
      </rPr>
      <t xml:space="preserve">Inventories
</t>
    </r>
    <r>
      <rPr>
        <sz val="9"/>
        <rFont val="Arial"/>
        <family val="2"/>
      </rPr>
      <t xml:space="preserve">Vendor non-trade receivables
</t>
    </r>
    <r>
      <rPr>
        <sz val="9"/>
        <rFont val="Arial"/>
        <family val="2"/>
      </rPr>
      <t xml:space="preserve">Other current and non-current assets Accounts payable
</t>
    </r>
    <r>
      <rPr>
        <sz val="9"/>
        <rFont val="Arial"/>
        <family val="2"/>
      </rPr>
      <t xml:space="preserve">Deferred revenue
</t>
    </r>
    <r>
      <rPr>
        <sz val="9"/>
        <rFont val="Arial"/>
        <family val="2"/>
      </rPr>
      <t xml:space="preserve">Other current and non-current liabilities Cash generated by operating activities
</t>
    </r>
    <r>
      <rPr>
        <sz val="9"/>
        <rFont val="Arial"/>
        <family val="2"/>
      </rPr>
      <t xml:space="preserve">Investing activities:
</t>
    </r>
    <r>
      <rPr>
        <sz val="9"/>
        <rFont val="Arial"/>
        <family val="2"/>
      </rPr>
      <t xml:space="preserve">Purchases of marketable securities
</t>
    </r>
    <r>
      <rPr>
        <sz val="9"/>
        <rFont val="Arial"/>
        <family val="2"/>
      </rPr>
      <t xml:space="preserve">Proceeds from maturities of marketable securities Proceeds from sales of marketable securities
</t>
    </r>
    <r>
      <rPr>
        <sz val="9"/>
        <rFont val="Arial"/>
        <family val="2"/>
      </rPr>
      <t xml:space="preserve">Payments for acquisition of property, plant and equipment Payments made in connection with business acquisitions, net Other
</t>
    </r>
    <r>
      <rPr>
        <sz val="9"/>
        <rFont val="Arial"/>
        <family val="2"/>
      </rPr>
      <t xml:space="preserve">Cash used in investing activities
</t>
    </r>
    <r>
      <rPr>
        <sz val="9"/>
        <rFont val="Arial"/>
        <family val="2"/>
      </rPr>
      <t xml:space="preserve">Financing activities:
</t>
    </r>
    <r>
      <rPr>
        <sz val="9"/>
        <rFont val="Arial"/>
        <family val="2"/>
      </rPr>
      <t xml:space="preserve">Payments for taxes related to net share settlement of equity awards Payments for dividends and dividend equivalents
</t>
    </r>
    <r>
      <rPr>
        <sz val="9"/>
        <rFont val="Arial"/>
        <family val="2"/>
      </rPr>
      <t xml:space="preserve">Repurchases of common stock
</t>
    </r>
    <r>
      <rPr>
        <sz val="9"/>
        <rFont val="Arial"/>
        <family val="2"/>
      </rPr>
      <t xml:space="preserve">Proceeds from issuance of term debt, net Repayments of term debt
</t>
    </r>
    <r>
      <rPr>
        <sz val="9"/>
        <rFont val="Arial"/>
        <family val="2"/>
      </rPr>
      <t xml:space="preserve">Proceeds from/(Repayments of) commercial paper, net Other
</t>
    </r>
    <r>
      <rPr>
        <sz val="9"/>
        <rFont val="Arial"/>
        <family val="2"/>
      </rPr>
      <t xml:space="preserve">Cash used in financing activities
</t>
    </r>
    <r>
      <rPr>
        <sz val="9"/>
        <rFont val="Arial"/>
        <family val="2"/>
      </rPr>
      <t>Decrease in cash, cash equivalents and restricted cash</t>
    </r>
  </si>
  <si>
    <r>
      <rPr>
        <sz val="9"/>
        <rFont val="Arial"/>
        <family val="2"/>
      </rPr>
      <t xml:space="preserve">Cash, cash equivalents and restricted cash, ending balances                                  </t>
    </r>
    <r>
      <rPr>
        <u/>
        <sz val="9"/>
        <rFont val="Arial"/>
        <family val="2"/>
      </rPr>
      <t>$ </t>
    </r>
  </si>
  <si>
    <r>
      <rPr>
        <sz val="9"/>
        <rFont val="Arial"/>
        <family val="2"/>
      </rPr>
      <t>$           39,789</t>
    </r>
  </si>
  <si>
    <r>
      <rPr>
        <sz val="9"/>
        <rFont val="Arial"/>
        <family val="2"/>
      </rPr>
      <t>Supplemental cash flow disclosure:</t>
    </r>
  </si>
  <si>
    <r>
      <rPr>
        <sz val="9"/>
        <rFont val="Arial"/>
        <family val="2"/>
      </rPr>
      <t>Cash paid for income taxes, net</t>
    </r>
  </si>
  <si>
    <r>
      <rPr>
        <sz val="9"/>
        <rFont val="Arial"/>
        <family val="2"/>
      </rPr>
      <t>$            19,573    $</t>
    </r>
  </si>
  <si>
    <r>
      <rPr>
        <sz val="9"/>
        <rFont val="Arial"/>
        <family val="2"/>
      </rPr>
      <t>$             9,501</t>
    </r>
  </si>
  <si>
    <r>
      <rPr>
        <sz val="9"/>
        <rFont val="Arial"/>
        <family val="2"/>
      </rPr>
      <t>Cash paid for interest</t>
    </r>
  </si>
  <si>
    <r>
      <rPr>
        <sz val="9"/>
        <rFont val="Arial"/>
        <family val="2"/>
      </rPr>
      <t>$             2,865    $</t>
    </r>
  </si>
  <si>
    <r>
      <rPr>
        <sz val="9"/>
        <rFont val="Arial"/>
        <family val="2"/>
      </rPr>
      <t>$             3,002</t>
    </r>
  </si>
  <si>
    <t>Cost of sales:</t>
  </si>
  <si>
    <t xml:space="preserve">Services  </t>
  </si>
  <si>
    <t xml:space="preserve">Products   </t>
  </si>
  <si>
    <t xml:space="preserve">Services </t>
  </si>
  <si>
    <t>CAGR</t>
  </si>
  <si>
    <t>GM Products</t>
  </si>
  <si>
    <t>GM Services</t>
  </si>
  <si>
    <t xml:space="preserve">iPhone (1) $ </t>
  </si>
  <si>
    <t xml:space="preserve">Mac (1) </t>
  </si>
  <si>
    <t xml:space="preserve">iPad (1) </t>
  </si>
  <si>
    <t xml:space="preserve">Wearables, Home and Accessories (1)(2) </t>
  </si>
  <si>
    <t xml:space="preserve">Total net sales </t>
  </si>
  <si>
    <t xml:space="preserve">Total cost of sales </t>
  </si>
  <si>
    <t xml:space="preserve">Gross margin </t>
  </si>
  <si>
    <t>Y-o-Y Growth</t>
  </si>
  <si>
    <t>% of total Sales</t>
  </si>
  <si>
    <t xml:space="preserve">Total sales </t>
  </si>
  <si>
    <t xml:space="preserve">% of Sales - Products only </t>
  </si>
  <si>
    <t>SUBTOTAL - Total Product Sales</t>
  </si>
  <si>
    <t xml:space="preserve"> </t>
  </si>
  <si>
    <t xml:space="preserve">iPhone </t>
  </si>
  <si>
    <t xml:space="preserve">Mac </t>
  </si>
  <si>
    <t xml:space="preserve">iPad </t>
  </si>
  <si>
    <t xml:space="preserve">Wearables, Home and Accessories </t>
  </si>
  <si>
    <t>Sale/Revenues</t>
  </si>
  <si>
    <t>CAGR + 5 Years</t>
  </si>
  <si>
    <t>Forecast @2027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</si>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</sst>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;[Red]\-&quot;$&quot;#,##0.00"/>
    <numFmt numFmtId="165" formatCode="_-&quot;$&quot;* #,##0.00_-;\-&quot;$&quot;* #,##0.00_-;_-&quot;$&quot;* &quot;-&quot;??_-;_-@_-"/>
    <numFmt numFmtId="166" formatCode="#,##0;#,##0"/>
    <numFmt numFmtId="167" formatCode="###0_);\(###0\)"/>
    <numFmt numFmtId="168" formatCode="###0;###0"/>
    <numFmt numFmtId="169" formatCode="###0.00;###0.00"/>
  </numFmts>
  <fonts count="9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u/>
      <sz val="9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17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168" fontId="5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0" fillId="0" borderId="0" xfId="0" applyAlignment="1">
      <alignment horizontal="center" vertical="top"/>
    </xf>
    <xf numFmtId="10" fontId="0" fillId="0" borderId="0" xfId="2" applyNumberFormat="1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10" fontId="8" fillId="0" borderId="0" xfId="2" applyNumberFormat="1" applyFont="1" applyAlignment="1">
      <alignment horizontal="center" vertical="top"/>
    </xf>
    <xf numFmtId="0" fontId="8" fillId="0" borderId="12" xfId="0" applyFont="1" applyBorder="1" applyAlignment="1">
      <alignment horizontal="center" vertical="top"/>
    </xf>
    <xf numFmtId="165" fontId="0" fillId="0" borderId="0" xfId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0" fontId="0" fillId="3" borderId="0" xfId="2" applyNumberFormat="1" applyFont="1" applyFill="1" applyAlignment="1">
      <alignment horizontal="center" vertical="top"/>
    </xf>
    <xf numFmtId="165" fontId="7" fillId="0" borderId="0" xfId="1" applyFont="1" applyAlignment="1">
      <alignment horizontal="center" vertical="top"/>
    </xf>
    <xf numFmtId="165" fontId="0" fillId="0" borderId="0" xfId="1" applyFont="1" applyFill="1" applyAlignment="1">
      <alignment horizontal="center" vertical="top"/>
    </xf>
    <xf numFmtId="10" fontId="0" fillId="0" borderId="0" xfId="2" applyNumberFormat="1" applyFont="1" applyFill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0" fillId="0" borderId="5" xfId="0" applyBorder="1" applyAlignment="1">
      <alignment horizontal="center" vertical="top"/>
    </xf>
    <xf numFmtId="10" fontId="0" fillId="3" borderId="5" xfId="2" applyNumberFormat="1" applyFont="1" applyFill="1" applyBorder="1" applyAlignment="1">
      <alignment horizontal="center" vertical="top"/>
    </xf>
    <xf numFmtId="10" fontId="0" fillId="0" borderId="0" xfId="2" applyNumberFormat="1" applyFont="1" applyFill="1" applyBorder="1" applyAlignment="1">
      <alignment horizontal="center" vertical="top"/>
    </xf>
    <xf numFmtId="165" fontId="0" fillId="0" borderId="10" xfId="0" applyNumberFormat="1" applyBorder="1" applyAlignment="1">
      <alignment horizontal="center" vertical="top"/>
    </xf>
    <xf numFmtId="10" fontId="0" fillId="3" borderId="10" xfId="2" applyNumberFormat="1" applyFont="1" applyFill="1" applyBorder="1" applyAlignment="1">
      <alignment horizontal="center" vertical="top"/>
    </xf>
    <xf numFmtId="10" fontId="0" fillId="0" borderId="5" xfId="2" applyNumberFormat="1" applyFon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10" fontId="0" fillId="3" borderId="0" xfId="2" applyNumberFormat="1" applyFont="1" applyFill="1" applyBorder="1" applyAlignment="1">
      <alignment horizontal="center" vertical="top"/>
    </xf>
    <xf numFmtId="10" fontId="0" fillId="0" borderId="0" xfId="2" applyNumberFormat="1" applyFont="1" applyBorder="1" applyAlignment="1">
      <alignment horizontal="center" vertical="top"/>
    </xf>
    <xf numFmtId="10" fontId="0" fillId="3" borderId="8" xfId="2" applyNumberFormat="1" applyFont="1" applyFill="1" applyBorder="1" applyAlignment="1">
      <alignment horizontal="center" vertical="top"/>
    </xf>
    <xf numFmtId="10" fontId="0" fillId="0" borderId="10" xfId="2" applyNumberFormat="1" applyFont="1" applyBorder="1" applyAlignment="1">
      <alignment horizontal="center" vertical="top"/>
    </xf>
    <xf numFmtId="165" fontId="0" fillId="0" borderId="11" xfId="0" applyNumberFormat="1" applyBorder="1" applyAlignment="1">
      <alignment horizontal="center" vertical="top"/>
    </xf>
    <xf numFmtId="165" fontId="0" fillId="3" borderId="5" xfId="0" applyNumberFormat="1" applyFill="1" applyBorder="1" applyAlignment="1">
      <alignment horizontal="center" vertical="top"/>
    </xf>
    <xf numFmtId="165" fontId="0" fillId="3" borderId="10" xfId="0" applyNumberFormat="1" applyFill="1" applyBorder="1" applyAlignment="1">
      <alignment horizontal="center" vertical="top"/>
    </xf>
    <xf numFmtId="164" fontId="7" fillId="3" borderId="0" xfId="0" applyNumberFormat="1" applyFont="1" applyFill="1" applyAlignment="1">
      <alignment horizontal="center" vertical="top"/>
    </xf>
    <xf numFmtId="0" fontId="7" fillId="0" borderId="13" xfId="0" applyFont="1" applyBorder="1" applyAlignment="1">
      <alignment horizontal="center" vertical="top"/>
    </xf>
    <xf numFmtId="9" fontId="0" fillId="3" borderId="0" xfId="2" applyFont="1" applyFill="1" applyBorder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10" fontId="0" fillId="3" borderId="5" xfId="0" applyNumberFormat="1" applyFill="1" applyBorder="1" applyAlignment="1">
      <alignment horizontal="center" vertical="top"/>
    </xf>
    <xf numFmtId="165" fontId="0" fillId="3" borderId="0" xfId="0" applyNumberFormat="1" applyFill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166" fontId="4" fillId="0" borderId="1" xfId="0" applyNumberFormat="1" applyFont="1" applyBorder="1" applyAlignment="1">
      <alignment horizontal="left" vertical="top" wrapText="1"/>
    </xf>
    <xf numFmtId="166" fontId="4" fillId="2" borderId="3" xfId="0" applyNumberFormat="1" applyFont="1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166" fontId="4" fillId="0" borderId="0" xfId="0" applyNumberFormat="1" applyFont="1" applyAlignment="1">
      <alignment horizontal="right" vertical="top" wrapText="1"/>
    </xf>
    <xf numFmtId="166" fontId="4" fillId="0" borderId="0" xfId="0" applyNumberFormat="1" applyFont="1" applyAlignment="1">
      <alignment horizontal="left" vertical="top" wrapText="1"/>
    </xf>
    <xf numFmtId="166" fontId="4" fillId="2" borderId="0" xfId="0" applyNumberFormat="1" applyFont="1" applyFill="1" applyAlignment="1">
      <alignment horizontal="right" vertical="top" wrapText="1"/>
    </xf>
    <xf numFmtId="166" fontId="4" fillId="2" borderId="1" xfId="0" applyNumberFormat="1" applyFont="1" applyFill="1" applyBorder="1" applyAlignment="1">
      <alignment horizontal="left" vertical="top" wrapText="1"/>
    </xf>
    <xf numFmtId="166" fontId="4" fillId="0" borderId="2" xfId="0" applyNumberFormat="1" applyFont="1" applyBorder="1" applyAlignment="1">
      <alignment horizontal="left" vertical="top" wrapText="1"/>
    </xf>
    <xf numFmtId="166" fontId="4" fillId="2" borderId="2" xfId="0" applyNumberFormat="1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167" fontId="4" fillId="2" borderId="1" xfId="0" applyNumberFormat="1" applyFont="1" applyFill="1" applyBorder="1" applyAlignment="1">
      <alignment horizontal="left" vertical="top" wrapText="1"/>
    </xf>
    <xf numFmtId="168" fontId="4" fillId="2" borderId="1" xfId="0" applyNumberFormat="1" applyFont="1" applyFill="1" applyBorder="1" applyAlignment="1">
      <alignment horizontal="left" vertical="top" wrapText="1"/>
    </xf>
    <xf numFmtId="166" fontId="4" fillId="0" borderId="3" xfId="0" applyNumberFormat="1" applyFont="1" applyBorder="1" applyAlignment="1">
      <alignment horizontal="left" vertical="top" wrapText="1"/>
    </xf>
    <xf numFmtId="0" fontId="2" fillId="2" borderId="0" xfId="0" applyFont="1" applyFill="1" applyAlignment="1">
      <alignment horizontal="right" vertical="top" wrapText="1"/>
    </xf>
    <xf numFmtId="0" fontId="2" fillId="2" borderId="3" xfId="0" applyFont="1" applyFill="1" applyBorder="1" applyAlignment="1">
      <alignment horizontal="left" vertical="top" wrapText="1"/>
    </xf>
    <xf numFmtId="169" fontId="4" fillId="2" borderId="0" xfId="0" applyNumberFormat="1" applyFont="1" applyFill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169" fontId="4" fillId="0" borderId="0" xfId="0" applyNumberFormat="1" applyFont="1" applyAlignment="1">
      <alignment horizontal="left" vertical="top" wrapText="1"/>
    </xf>
    <xf numFmtId="166" fontId="4" fillId="2" borderId="0" xfId="0" applyNumberFormat="1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37" fontId="4" fillId="0" borderId="0" xfId="0" applyNumberFormat="1" applyFont="1" applyAlignment="1">
      <alignment horizontal="left" vertical="top" wrapText="1"/>
    </xf>
    <xf numFmtId="168" fontId="4" fillId="0" borderId="0" xfId="0" applyNumberFormat="1" applyFont="1" applyAlignment="1">
      <alignment horizontal="right" vertical="top" wrapText="1"/>
    </xf>
    <xf numFmtId="168" fontId="4" fillId="2" borderId="0" xfId="0" applyNumberFormat="1" applyFont="1" applyFill="1" applyAlignment="1">
      <alignment horizontal="left" vertical="top" wrapText="1"/>
    </xf>
    <xf numFmtId="168" fontId="4" fillId="2" borderId="0" xfId="0" applyNumberFormat="1" applyFont="1" applyFill="1" applyAlignment="1">
      <alignment horizontal="right" vertical="top" wrapText="1"/>
    </xf>
    <xf numFmtId="37" fontId="4" fillId="0" borderId="0" xfId="0" applyNumberFormat="1" applyFont="1" applyAlignment="1">
      <alignment horizontal="left" vertical="center" wrapText="1"/>
    </xf>
    <xf numFmtId="166" fontId="4" fillId="0" borderId="0" xfId="0" applyNumberFormat="1" applyFont="1" applyAlignment="1">
      <alignment horizontal="left" vertical="center" wrapText="1"/>
    </xf>
    <xf numFmtId="167" fontId="4" fillId="0" borderId="0" xfId="0" applyNumberFormat="1" applyFont="1" applyAlignment="1">
      <alignment horizontal="left" vertical="top" wrapText="1"/>
    </xf>
    <xf numFmtId="168" fontId="4" fillId="2" borderId="0" xfId="0" applyNumberFormat="1" applyFont="1" applyFill="1" applyAlignment="1">
      <alignment horizontal="left" vertical="center" wrapText="1"/>
    </xf>
    <xf numFmtId="167" fontId="4" fillId="2" borderId="0" xfId="0" applyNumberFormat="1" applyFont="1" applyFill="1" applyAlignment="1">
      <alignment horizontal="left" vertical="center" wrapText="1"/>
    </xf>
    <xf numFmtId="167" fontId="4" fillId="2" borderId="1" xfId="0" applyNumberFormat="1" applyFont="1" applyFill="1" applyBorder="1" applyAlignment="1">
      <alignment horizontal="left" vertical="center" wrapText="1"/>
    </xf>
    <xf numFmtId="37" fontId="4" fillId="0" borderId="1" xfId="0" applyNumberFormat="1" applyFont="1" applyBorder="1" applyAlignment="1">
      <alignment horizontal="left" vertical="top" wrapText="1"/>
    </xf>
    <xf numFmtId="168" fontId="4" fillId="0" borderId="1" xfId="0" applyNumberFormat="1" applyFont="1" applyBorder="1" applyAlignment="1">
      <alignment horizontal="left" vertical="top" wrapText="1"/>
    </xf>
    <xf numFmtId="168" fontId="4" fillId="0" borderId="1" xfId="0" applyNumberFormat="1" applyFont="1" applyBorder="1" applyAlignment="1">
      <alignment horizontal="righ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37" fontId="4" fillId="2" borderId="1" xfId="0" applyNumberFormat="1" applyFont="1" applyFill="1" applyBorder="1" applyAlignment="1">
      <alignment horizontal="left" vertical="top" wrapText="1"/>
    </xf>
    <xf numFmtId="168" fontId="4" fillId="2" borderId="1" xfId="0" applyNumberFormat="1" applyFont="1" applyFill="1" applyBorder="1" applyAlignment="1">
      <alignment horizontal="right" vertical="top" wrapText="1"/>
    </xf>
    <xf numFmtId="0" fontId="0" fillId="0" borderId="2" xfId="0" applyBorder="1" applyAlignment="1">
      <alignment horizontal="left" vertical="top" wrapText="1"/>
    </xf>
    <xf numFmtId="168" fontId="4" fillId="0" borderId="0" xfId="0" applyNumberFormat="1" applyFont="1" applyAlignment="1">
      <alignment horizontal="left" vertical="top" wrapText="1"/>
    </xf>
    <xf numFmtId="37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right" vertical="top" wrapText="1"/>
    </xf>
    <xf numFmtId="37" fontId="4" fillId="0" borderId="3" xfId="0" applyNumberFormat="1" applyFont="1" applyBorder="1" applyAlignment="1">
      <alignment horizontal="left" vertical="top" wrapText="1"/>
    </xf>
    <xf numFmtId="167" fontId="4" fillId="2" borderId="0" xfId="0" applyNumberFormat="1" applyFont="1" applyFill="1" applyAlignment="1">
      <alignment horizontal="left" vertical="top" wrapText="1"/>
    </xf>
    <xf numFmtId="37" fontId="4" fillId="2" borderId="3" xfId="0" applyNumberFormat="1" applyFont="1" applyFill="1" applyBorder="1" applyAlignment="1">
      <alignment horizontal="left" vertical="top" wrapText="1"/>
    </xf>
    <xf numFmtId="168" fontId="4" fillId="2" borderId="3" xfId="0" applyNumberFormat="1" applyFont="1" applyFill="1" applyBorder="1" applyAlignment="1">
      <alignment horizontal="left" vertical="top" wrapText="1"/>
    </xf>
    <xf numFmtId="167" fontId="4" fillId="2" borderId="3" xfId="0" applyNumberFormat="1" applyFont="1" applyFill="1" applyBorder="1" applyAlignment="1">
      <alignment horizontal="left" vertical="top" wrapText="1"/>
    </xf>
    <xf numFmtId="167" fontId="4" fillId="0" borderId="0" xfId="0" applyNumberFormat="1" applyFont="1" applyAlignment="1">
      <alignment horizontal="right" vertical="top" wrapText="1"/>
    </xf>
    <xf numFmtId="167" fontId="4" fillId="2" borderId="0" xfId="0" applyNumberFormat="1" applyFont="1" applyFill="1" applyAlignment="1">
      <alignment horizontal="right" vertical="top" wrapText="1"/>
    </xf>
    <xf numFmtId="37" fontId="4" fillId="2" borderId="0" xfId="0" applyNumberFormat="1" applyFont="1" applyFill="1" applyAlignment="1">
      <alignment horizontal="left" vertical="top" wrapText="1"/>
    </xf>
    <xf numFmtId="167" fontId="4" fillId="2" borderId="1" xfId="0" applyNumberFormat="1" applyFont="1" applyFill="1" applyBorder="1" applyAlignment="1">
      <alignment horizontal="right" vertical="top" wrapText="1"/>
    </xf>
    <xf numFmtId="167" fontId="4" fillId="0" borderId="1" xfId="0" applyNumberFormat="1" applyFont="1" applyBorder="1" applyAlignment="1">
      <alignment horizontal="left" vertical="top" wrapText="1"/>
    </xf>
    <xf numFmtId="37" fontId="4" fillId="2" borderId="2" xfId="0" applyNumberFormat="1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7" fontId="4" fillId="0" borderId="2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1"/>
  <sheetViews>
    <sheetView workbookViewId="0">
      <selection activeCell="U15" sqref="U15:X15"/>
    </sheetView>
  </sheetViews>
  <sheetFormatPr baseColWidth="10" defaultColWidth="9" defaultRowHeight="13" x14ac:dyDescent="0.15"/>
  <cols>
    <col min="1" max="1" width="31.3984375" customWidth="1"/>
    <col min="2" max="2" width="3.3984375" customWidth="1"/>
    <col min="3" max="3" width="8" customWidth="1"/>
    <col min="4" max="4" width="6.796875" customWidth="1"/>
    <col min="5" max="6" width="2.19921875" customWidth="1"/>
    <col min="7" max="7" width="1.19921875" customWidth="1"/>
    <col min="8" max="8" width="10.3984375" customWidth="1"/>
    <col min="9" max="9" width="5.796875" customWidth="1"/>
    <col min="10" max="10" width="1.19921875" customWidth="1"/>
    <col min="11" max="13" width="3.3984375" customWidth="1"/>
    <col min="14" max="14" width="1.19921875" customWidth="1"/>
    <col min="15" max="15" width="2.19921875" customWidth="1"/>
    <col min="16" max="20" width="1.19921875" customWidth="1"/>
    <col min="21" max="21" width="5.796875" customWidth="1"/>
    <col min="22" max="22" width="1.19921875" customWidth="1"/>
    <col min="23" max="23" width="2.19921875" customWidth="1"/>
    <col min="24" max="25" width="1.19921875" customWidth="1"/>
    <col min="26" max="26" width="2.19921875" customWidth="1"/>
    <col min="27" max="28" width="1.19921875" customWidth="1"/>
    <col min="29" max="29" width="5.796875" customWidth="1"/>
    <col min="30" max="30" width="4.59765625" customWidth="1"/>
    <col min="31" max="31" width="2.19921875" customWidth="1"/>
  </cols>
  <sheetData>
    <row r="1" spans="1:30" ht="12" customHeight="1" x14ac:dyDescent="0.15">
      <c r="A1" s="1" t="s">
        <v>0</v>
      </c>
    </row>
    <row r="2" spans="1:30" ht="12" customHeight="1" x14ac:dyDescent="0.15">
      <c r="A2" s="2" t="s">
        <v>1</v>
      </c>
    </row>
    <row r="3" spans="1:30" ht="14" customHeight="1" x14ac:dyDescent="0.15">
      <c r="A3" s="51"/>
      <c r="B3" s="51"/>
      <c r="C3" s="51"/>
      <c r="D3" s="51"/>
      <c r="E3" s="51"/>
      <c r="F3" s="51"/>
      <c r="G3" s="51"/>
      <c r="H3" s="51"/>
      <c r="I3" s="51"/>
      <c r="J3" s="52"/>
      <c r="K3" s="52"/>
      <c r="L3" s="52"/>
      <c r="M3" s="52"/>
      <c r="N3" s="52"/>
      <c r="O3" s="52"/>
      <c r="P3" s="53" t="s">
        <v>2</v>
      </c>
      <c r="Q3" s="53"/>
      <c r="R3" s="53"/>
      <c r="S3" s="53"/>
      <c r="T3" s="53"/>
      <c r="U3" s="53"/>
      <c r="V3" s="53"/>
      <c r="W3" s="53"/>
      <c r="X3" s="53"/>
      <c r="Y3" s="52"/>
      <c r="Z3" s="52"/>
      <c r="AA3" s="52"/>
      <c r="AB3" s="52"/>
      <c r="AC3" s="52"/>
      <c r="AD3" s="52"/>
    </row>
    <row r="4" spans="1:30" ht="21" customHeight="1" x14ac:dyDescent="0.15">
      <c r="A4" s="51"/>
      <c r="B4" s="51"/>
      <c r="C4" s="51"/>
      <c r="D4" s="51"/>
      <c r="E4" s="51"/>
      <c r="F4" s="51"/>
      <c r="G4" s="51"/>
      <c r="H4" s="51"/>
      <c r="I4" s="51"/>
      <c r="J4" s="54" t="s">
        <v>3</v>
      </c>
      <c r="K4" s="54"/>
      <c r="L4" s="54"/>
      <c r="M4" s="54"/>
      <c r="N4" s="54"/>
      <c r="O4" s="54"/>
      <c r="P4" s="54" t="s">
        <v>4</v>
      </c>
      <c r="Q4" s="54"/>
      <c r="R4" s="54"/>
      <c r="S4" s="54"/>
      <c r="T4" s="54"/>
      <c r="U4" s="54"/>
      <c r="V4" s="54"/>
      <c r="W4" s="54"/>
      <c r="X4" s="54"/>
      <c r="Y4" s="54" t="s">
        <v>5</v>
      </c>
      <c r="Z4" s="54"/>
      <c r="AA4" s="54"/>
      <c r="AB4" s="54"/>
      <c r="AC4" s="54"/>
      <c r="AD4" s="54"/>
    </row>
    <row r="5" spans="1:30" ht="13" customHeight="1" x14ac:dyDescent="0.15">
      <c r="A5" s="55" t="s">
        <v>6</v>
      </c>
      <c r="B5" s="55"/>
      <c r="C5" s="55"/>
      <c r="D5" s="55"/>
      <c r="E5" s="55"/>
      <c r="F5" s="55"/>
      <c r="G5" s="55"/>
      <c r="H5" s="55"/>
      <c r="I5" s="55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</row>
    <row r="6" spans="1:30" ht="14" customHeight="1" x14ac:dyDescent="0.15">
      <c r="A6" s="57" t="s">
        <v>7</v>
      </c>
      <c r="B6" s="57"/>
      <c r="C6" s="57"/>
      <c r="D6" s="57"/>
      <c r="E6" s="57"/>
      <c r="F6" s="57"/>
      <c r="G6" s="57"/>
      <c r="H6" s="57"/>
      <c r="I6" s="57"/>
      <c r="J6" s="57" t="s">
        <v>8</v>
      </c>
      <c r="K6" s="57"/>
      <c r="L6" s="57"/>
      <c r="M6" s="57"/>
      <c r="N6" s="57"/>
      <c r="O6" s="57"/>
      <c r="P6" s="57" t="s">
        <v>9</v>
      </c>
      <c r="Q6" s="57"/>
      <c r="R6" s="57"/>
      <c r="S6" s="57"/>
      <c r="T6" s="57"/>
      <c r="U6" s="57"/>
      <c r="V6" s="57"/>
      <c r="W6" s="57"/>
      <c r="X6" s="57"/>
      <c r="Y6" s="57" t="s">
        <v>10</v>
      </c>
      <c r="Z6" s="57"/>
      <c r="AA6" s="57"/>
      <c r="AB6" s="57"/>
      <c r="AC6" s="57"/>
      <c r="AD6" s="57"/>
    </row>
    <row r="7" spans="1:30" ht="14" customHeight="1" x14ac:dyDescent="0.15">
      <c r="A7" s="55" t="s">
        <v>11</v>
      </c>
      <c r="B7" s="55"/>
      <c r="C7" s="55"/>
      <c r="D7" s="55"/>
      <c r="E7" s="55"/>
      <c r="F7" s="55"/>
      <c r="G7" s="55"/>
      <c r="H7" s="55"/>
      <c r="I7" s="55"/>
      <c r="J7" s="58">
        <v>78129</v>
      </c>
      <c r="K7" s="58"/>
      <c r="L7" s="58"/>
      <c r="M7" s="58"/>
      <c r="N7" s="58"/>
      <c r="O7" s="58"/>
      <c r="P7" s="58">
        <v>68425</v>
      </c>
      <c r="Q7" s="58"/>
      <c r="R7" s="58"/>
      <c r="S7" s="58"/>
      <c r="T7" s="58"/>
      <c r="U7" s="58"/>
      <c r="V7" s="58"/>
      <c r="W7" s="58"/>
      <c r="X7" s="58"/>
      <c r="Y7" s="58">
        <v>53768</v>
      </c>
      <c r="Z7" s="58"/>
      <c r="AA7" s="58"/>
      <c r="AB7" s="58"/>
      <c r="AC7" s="58"/>
      <c r="AD7" s="58"/>
    </row>
    <row r="8" spans="1:30" ht="14" customHeight="1" x14ac:dyDescent="0.15">
      <c r="A8" s="57" t="s">
        <v>12</v>
      </c>
      <c r="B8" s="57"/>
      <c r="C8" s="57"/>
      <c r="D8" s="57"/>
      <c r="E8" s="57"/>
      <c r="F8" s="57"/>
      <c r="G8" s="57"/>
      <c r="H8" s="57"/>
      <c r="I8" s="57"/>
      <c r="J8" s="59">
        <v>394328</v>
      </c>
      <c r="K8" s="59"/>
      <c r="L8" s="59"/>
      <c r="M8" s="59"/>
      <c r="N8" s="59"/>
      <c r="O8" s="59"/>
      <c r="P8" s="59">
        <v>365817</v>
      </c>
      <c r="Q8" s="59"/>
      <c r="R8" s="59"/>
      <c r="S8" s="59"/>
      <c r="T8" s="59"/>
      <c r="U8" s="59"/>
      <c r="V8" s="59"/>
      <c r="W8" s="59"/>
      <c r="X8" s="59"/>
      <c r="Y8" s="59">
        <v>274515</v>
      </c>
      <c r="Z8" s="59"/>
      <c r="AA8" s="59"/>
      <c r="AB8" s="59"/>
      <c r="AC8" s="59"/>
      <c r="AD8" s="59"/>
    </row>
    <row r="9" spans="1:30" ht="14" customHeight="1" x14ac:dyDescent="0.15">
      <c r="A9" s="57" t="s">
        <v>13</v>
      </c>
      <c r="B9" s="57"/>
      <c r="C9" s="57"/>
      <c r="D9" s="57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</row>
    <row r="10" spans="1:30" ht="14" customHeight="1" x14ac:dyDescent="0.15">
      <c r="A10" s="55" t="s">
        <v>7</v>
      </c>
      <c r="B10" s="55"/>
      <c r="C10" s="55"/>
      <c r="D10" s="55"/>
      <c r="E10" s="61">
        <v>201471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2">
        <v>192266</v>
      </c>
      <c r="T10" s="62"/>
      <c r="U10" s="62"/>
      <c r="V10" s="62"/>
      <c r="W10" s="62"/>
      <c r="X10" s="62"/>
      <c r="Y10" s="62"/>
      <c r="Z10" s="62"/>
      <c r="AA10" s="62">
        <v>151286</v>
      </c>
      <c r="AB10" s="62"/>
      <c r="AC10" s="62"/>
      <c r="AD10" s="62"/>
    </row>
    <row r="11" spans="1:30" ht="14" customHeight="1" x14ac:dyDescent="0.15">
      <c r="A11" s="57" t="s">
        <v>11</v>
      </c>
      <c r="B11" s="57"/>
      <c r="C11" s="57"/>
      <c r="D11" s="57"/>
      <c r="E11" s="63">
        <v>22075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4">
        <v>20715</v>
      </c>
      <c r="T11" s="64"/>
      <c r="U11" s="64"/>
      <c r="V11" s="64"/>
      <c r="W11" s="64"/>
      <c r="X11" s="64"/>
      <c r="Y11" s="64"/>
      <c r="Z11" s="64"/>
      <c r="AA11" s="64">
        <v>18273</v>
      </c>
      <c r="AB11" s="64"/>
      <c r="AC11" s="64"/>
      <c r="AD11" s="64"/>
    </row>
    <row r="12" spans="1:30" ht="14" customHeight="1" x14ac:dyDescent="0.15">
      <c r="A12" s="55" t="s">
        <v>14</v>
      </c>
      <c r="B12" s="55"/>
      <c r="C12" s="55"/>
      <c r="D12" s="55"/>
      <c r="E12" s="61">
        <v>223546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5">
        <v>212981</v>
      </c>
      <c r="T12" s="65"/>
      <c r="U12" s="65"/>
      <c r="V12" s="65"/>
      <c r="W12" s="65"/>
      <c r="X12" s="65"/>
      <c r="Y12" s="65"/>
      <c r="Z12" s="65"/>
      <c r="AA12" s="65">
        <v>169559</v>
      </c>
      <c r="AB12" s="65"/>
      <c r="AC12" s="65"/>
      <c r="AD12" s="65"/>
    </row>
    <row r="13" spans="1:30" ht="14" customHeight="1" x14ac:dyDescent="0.15">
      <c r="A13" s="57" t="s">
        <v>15</v>
      </c>
      <c r="B13" s="57"/>
      <c r="C13" s="57"/>
      <c r="D13" s="57"/>
      <c r="E13" s="63">
        <v>170782</v>
      </c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6">
        <v>152836</v>
      </c>
      <c r="T13" s="66"/>
      <c r="U13" s="66"/>
      <c r="V13" s="66"/>
      <c r="W13" s="66"/>
      <c r="X13" s="66"/>
      <c r="Y13" s="66"/>
      <c r="Z13" s="66"/>
      <c r="AA13" s="66">
        <v>104956</v>
      </c>
      <c r="AB13" s="66"/>
      <c r="AC13" s="66"/>
      <c r="AD13" s="66"/>
    </row>
    <row r="14" spans="1:30" ht="14" customHeight="1" x14ac:dyDescent="0.15">
      <c r="A14" s="57" t="s">
        <v>16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</row>
    <row r="15" spans="1:30" ht="13" customHeight="1" x14ac:dyDescent="0.15">
      <c r="A15" s="55" t="s">
        <v>17</v>
      </c>
      <c r="B15" s="55"/>
      <c r="C15" s="55"/>
      <c r="D15" s="55"/>
      <c r="E15" s="55"/>
      <c r="F15" s="55"/>
      <c r="G15" s="55"/>
      <c r="H15" s="51"/>
      <c r="I15" s="51"/>
      <c r="J15" s="51"/>
      <c r="K15" s="51"/>
      <c r="L15" s="62">
        <v>26251</v>
      </c>
      <c r="M15" s="62"/>
      <c r="N15" s="62"/>
      <c r="O15" s="62"/>
      <c r="P15" s="51"/>
      <c r="Q15" s="51"/>
      <c r="R15" s="51"/>
      <c r="S15" s="51"/>
      <c r="T15" s="51"/>
      <c r="U15" s="62">
        <v>21914</v>
      </c>
      <c r="V15" s="62"/>
      <c r="W15" s="62"/>
      <c r="X15" s="62"/>
      <c r="Y15" s="51"/>
      <c r="Z15" s="51"/>
      <c r="AA15" s="51"/>
      <c r="AB15" s="51"/>
      <c r="AC15" s="62">
        <v>18752</v>
      </c>
      <c r="AD15" s="62"/>
    </row>
    <row r="16" spans="1:30" ht="14" customHeight="1" x14ac:dyDescent="0.15">
      <c r="A16" s="57" t="s">
        <v>18</v>
      </c>
      <c r="B16" s="57"/>
      <c r="C16" s="57"/>
      <c r="D16" s="57"/>
      <c r="E16" s="57"/>
      <c r="F16" s="57"/>
      <c r="G16" s="57"/>
      <c r="H16" s="60"/>
      <c r="I16" s="60"/>
      <c r="J16" s="60"/>
      <c r="K16" s="60"/>
      <c r="L16" s="64">
        <v>25094</v>
      </c>
      <c r="M16" s="64"/>
      <c r="N16" s="64"/>
      <c r="O16" s="64"/>
      <c r="P16" s="67"/>
      <c r="Q16" s="67"/>
      <c r="R16" s="67"/>
      <c r="S16" s="67"/>
      <c r="T16" s="67"/>
      <c r="U16" s="64">
        <v>21973</v>
      </c>
      <c r="V16" s="64"/>
      <c r="W16" s="64"/>
      <c r="X16" s="64"/>
      <c r="Y16" s="67"/>
      <c r="Z16" s="67"/>
      <c r="AA16" s="67"/>
      <c r="AB16" s="67"/>
      <c r="AC16" s="64">
        <v>19916</v>
      </c>
      <c r="AD16" s="64"/>
    </row>
    <row r="17" spans="1:30" ht="14" customHeight="1" x14ac:dyDescent="0.15">
      <c r="A17" s="57" t="s">
        <v>19</v>
      </c>
      <c r="B17" s="57"/>
      <c r="C17" s="57"/>
      <c r="D17" s="57"/>
      <c r="E17" s="57"/>
      <c r="F17" s="57"/>
      <c r="G17" s="57"/>
      <c r="H17" s="60"/>
      <c r="I17" s="60"/>
      <c r="J17" s="60"/>
      <c r="K17" s="60"/>
      <c r="L17" s="59">
        <v>51345</v>
      </c>
      <c r="M17" s="59"/>
      <c r="N17" s="59"/>
      <c r="O17" s="59"/>
      <c r="P17" s="68"/>
      <c r="Q17" s="68"/>
      <c r="R17" s="68"/>
      <c r="S17" s="68"/>
      <c r="T17" s="68"/>
      <c r="U17" s="59">
        <v>43887</v>
      </c>
      <c r="V17" s="59"/>
      <c r="W17" s="59"/>
      <c r="X17" s="59"/>
      <c r="Y17" s="68"/>
      <c r="Z17" s="68"/>
      <c r="AA17" s="68"/>
      <c r="AB17" s="68"/>
      <c r="AC17" s="59">
        <v>38668</v>
      </c>
      <c r="AD17" s="59"/>
    </row>
    <row r="18" spans="1:30" ht="28" customHeight="1" x14ac:dyDescent="0.15">
      <c r="A18" s="55" t="s">
        <v>20</v>
      </c>
      <c r="B18" s="55"/>
      <c r="C18" s="55"/>
      <c r="D18" s="55"/>
      <c r="E18" s="55"/>
      <c r="F18" s="55"/>
      <c r="G18" s="55"/>
      <c r="H18" s="51"/>
      <c r="I18" s="51"/>
      <c r="J18" s="51"/>
      <c r="K18" s="51"/>
      <c r="L18" s="62">
        <v>119437</v>
      </c>
      <c r="M18" s="62"/>
      <c r="N18" s="62"/>
      <c r="O18" s="62"/>
      <c r="P18" s="51"/>
      <c r="Q18" s="51"/>
      <c r="R18" s="51"/>
      <c r="S18" s="51"/>
      <c r="T18" s="51"/>
      <c r="U18" s="62">
        <v>108949</v>
      </c>
      <c r="V18" s="62"/>
      <c r="W18" s="62"/>
      <c r="X18" s="62"/>
      <c r="Y18" s="51"/>
      <c r="Z18" s="51"/>
      <c r="AA18" s="51"/>
      <c r="AB18" s="51"/>
      <c r="AC18" s="62">
        <v>66288</v>
      </c>
      <c r="AD18" s="62"/>
    </row>
    <row r="19" spans="1:30" ht="14" customHeight="1" x14ac:dyDescent="0.15">
      <c r="A19" s="57" t="s">
        <v>21</v>
      </c>
      <c r="B19" s="57"/>
      <c r="C19" s="57"/>
      <c r="D19" s="57"/>
      <c r="E19" s="57"/>
      <c r="F19" s="57"/>
      <c r="G19" s="57"/>
      <c r="H19" s="60"/>
      <c r="I19" s="60"/>
      <c r="J19" s="60"/>
      <c r="K19" s="60"/>
      <c r="L19" s="69">
        <v>-334</v>
      </c>
      <c r="M19" s="69"/>
      <c r="N19" s="69"/>
      <c r="O19" s="69"/>
      <c r="P19" s="67"/>
      <c r="Q19" s="67"/>
      <c r="R19" s="67"/>
      <c r="S19" s="67"/>
      <c r="T19" s="67"/>
      <c r="U19" s="70">
        <v>258</v>
      </c>
      <c r="V19" s="70"/>
      <c r="W19" s="70"/>
      <c r="X19" s="70"/>
      <c r="Y19" s="67"/>
      <c r="Z19" s="67"/>
      <c r="AA19" s="67"/>
      <c r="AB19" s="67"/>
      <c r="AC19" s="70">
        <v>803</v>
      </c>
      <c r="AD19" s="70"/>
    </row>
    <row r="20" spans="1:30" ht="14" customHeight="1" x14ac:dyDescent="0.15">
      <c r="A20" s="55" t="s">
        <v>22</v>
      </c>
      <c r="B20" s="55"/>
      <c r="C20" s="55"/>
      <c r="D20" s="55"/>
      <c r="E20" s="55"/>
      <c r="F20" s="55"/>
      <c r="G20" s="55"/>
      <c r="H20" s="51"/>
      <c r="I20" s="51"/>
      <c r="J20" s="51"/>
      <c r="K20" s="51"/>
      <c r="L20" s="71">
        <v>119103</v>
      </c>
      <c r="M20" s="71"/>
      <c r="N20" s="71"/>
      <c r="O20" s="71"/>
      <c r="P20" s="56"/>
      <c r="Q20" s="56"/>
      <c r="R20" s="56"/>
      <c r="S20" s="56"/>
      <c r="T20" s="56"/>
      <c r="U20" s="71">
        <v>109207</v>
      </c>
      <c r="V20" s="71"/>
      <c r="W20" s="71"/>
      <c r="X20" s="71"/>
      <c r="Y20" s="56"/>
      <c r="Z20" s="56"/>
      <c r="AA20" s="56"/>
      <c r="AB20" s="56"/>
      <c r="AC20" s="71">
        <v>67091</v>
      </c>
      <c r="AD20" s="71"/>
    </row>
    <row r="21" spans="1:30" ht="14" customHeight="1" x14ac:dyDescent="0.15">
      <c r="A21" s="57" t="s">
        <v>23</v>
      </c>
      <c r="B21" s="57"/>
      <c r="C21" s="57"/>
      <c r="D21" s="57"/>
      <c r="E21" s="57"/>
      <c r="F21" s="57"/>
      <c r="G21" s="57"/>
      <c r="H21" s="60"/>
      <c r="I21" s="60"/>
      <c r="J21" s="60"/>
      <c r="K21" s="60"/>
      <c r="L21" s="64">
        <v>19300</v>
      </c>
      <c r="M21" s="64"/>
      <c r="N21" s="64"/>
      <c r="O21" s="64"/>
      <c r="P21" s="67"/>
      <c r="Q21" s="67"/>
      <c r="R21" s="67"/>
      <c r="S21" s="67"/>
      <c r="T21" s="67"/>
      <c r="U21" s="64">
        <v>14527</v>
      </c>
      <c r="V21" s="64"/>
      <c r="W21" s="64"/>
      <c r="X21" s="64"/>
      <c r="Y21" s="67"/>
      <c r="Z21" s="67"/>
      <c r="AA21" s="67"/>
      <c r="AB21" s="67"/>
      <c r="AC21" s="64">
        <v>9680</v>
      </c>
      <c r="AD21" s="64"/>
    </row>
    <row r="22" spans="1:30" ht="14" customHeight="1" x14ac:dyDescent="0.15">
      <c r="A22" s="57" t="s">
        <v>24</v>
      </c>
      <c r="B22" s="57"/>
      <c r="C22" s="57"/>
      <c r="D22" s="57"/>
      <c r="E22" s="57"/>
      <c r="F22" s="57"/>
      <c r="G22" s="57"/>
      <c r="H22" s="72" t="s">
        <v>25</v>
      </c>
      <c r="I22" s="72"/>
      <c r="J22" s="72"/>
      <c r="K22" s="72"/>
      <c r="L22" s="59">
        <v>99803</v>
      </c>
      <c r="M22" s="59"/>
      <c r="N22" s="59"/>
      <c r="O22" s="59"/>
      <c r="P22" s="73" t="s">
        <v>25</v>
      </c>
      <c r="Q22" s="73"/>
      <c r="R22" s="73"/>
      <c r="S22" s="73"/>
      <c r="T22" s="73"/>
      <c r="U22" s="59">
        <v>94680</v>
      </c>
      <c r="V22" s="59"/>
      <c r="W22" s="59"/>
      <c r="X22" s="59"/>
      <c r="Y22" s="73" t="s">
        <v>25</v>
      </c>
      <c r="Z22" s="73"/>
      <c r="AA22" s="73"/>
      <c r="AB22" s="73"/>
      <c r="AC22" s="59">
        <v>57411</v>
      </c>
      <c r="AD22" s="59"/>
    </row>
    <row r="23" spans="1:30" ht="28" customHeight="1" x14ac:dyDescent="0.15">
      <c r="A23" s="55" t="s">
        <v>26</v>
      </c>
      <c r="B23" s="55"/>
      <c r="C23" s="55"/>
      <c r="D23" s="55"/>
      <c r="E23" s="55"/>
      <c r="F23" s="55"/>
      <c r="G23" s="55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</row>
    <row r="24" spans="1:30" ht="14" customHeight="1" x14ac:dyDescent="0.15">
      <c r="A24" s="57" t="s">
        <v>27</v>
      </c>
      <c r="B24" s="57"/>
      <c r="C24" s="57"/>
      <c r="D24" s="57"/>
      <c r="E24" s="57"/>
      <c r="F24" s="57"/>
      <c r="G24" s="57"/>
      <c r="H24" s="72" t="s">
        <v>28</v>
      </c>
      <c r="I24" s="72"/>
      <c r="J24" s="72"/>
      <c r="K24" s="72"/>
      <c r="L24" s="74">
        <v>6.15</v>
      </c>
      <c r="M24" s="74"/>
      <c r="N24" s="74"/>
      <c r="O24" s="74"/>
      <c r="P24" s="57" t="s">
        <v>28</v>
      </c>
      <c r="Q24" s="57"/>
      <c r="R24" s="57"/>
      <c r="S24" s="57"/>
      <c r="T24" s="57"/>
      <c r="U24" s="74">
        <v>5.67</v>
      </c>
      <c r="V24" s="74"/>
      <c r="W24" s="74"/>
      <c r="X24" s="74"/>
      <c r="Y24" s="57" t="s">
        <v>28</v>
      </c>
      <c r="Z24" s="57"/>
      <c r="AA24" s="57"/>
      <c r="AB24" s="57"/>
      <c r="AC24" s="74">
        <v>3.31</v>
      </c>
      <c r="AD24" s="74"/>
    </row>
    <row r="25" spans="1:30" ht="19" customHeight="1" x14ac:dyDescent="0.15">
      <c r="A25" s="55" t="s">
        <v>29</v>
      </c>
      <c r="B25" s="55"/>
      <c r="C25" s="55"/>
      <c r="D25" s="55"/>
      <c r="E25" s="55"/>
      <c r="F25" s="55"/>
      <c r="G25" s="55"/>
      <c r="H25" s="75" t="s">
        <v>28</v>
      </c>
      <c r="I25" s="75"/>
      <c r="J25" s="75"/>
      <c r="K25" s="75"/>
      <c r="L25" s="76">
        <v>6.11</v>
      </c>
      <c r="M25" s="76"/>
      <c r="N25" s="76"/>
      <c r="O25" s="76"/>
      <c r="P25" s="55" t="s">
        <v>28</v>
      </c>
      <c r="Q25" s="55"/>
      <c r="R25" s="55"/>
      <c r="S25" s="55"/>
      <c r="T25" s="55"/>
      <c r="U25" s="76">
        <v>5.61</v>
      </c>
      <c r="V25" s="76"/>
      <c r="W25" s="76"/>
      <c r="X25" s="76"/>
      <c r="Y25" s="55" t="s">
        <v>28</v>
      </c>
      <c r="Z25" s="55"/>
      <c r="AA25" s="55"/>
      <c r="AB25" s="55"/>
      <c r="AC25" s="76">
        <v>3.28</v>
      </c>
      <c r="AD25" s="76"/>
    </row>
    <row r="26" spans="1:30" ht="12" customHeight="1" x14ac:dyDescent="0.15">
      <c r="A26" s="7" t="s">
        <v>30</v>
      </c>
    </row>
    <row r="27" spans="1:30" ht="14" customHeight="1" x14ac:dyDescent="0.15">
      <c r="A27" s="57" t="s">
        <v>27</v>
      </c>
      <c r="B27" s="57"/>
      <c r="C27" s="57"/>
      <c r="D27" s="63">
        <v>16215963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77">
        <v>16701272</v>
      </c>
      <c r="S27" s="77"/>
      <c r="T27" s="77"/>
      <c r="U27" s="77"/>
      <c r="V27" s="77"/>
      <c r="W27" s="77"/>
      <c r="X27" s="77"/>
      <c r="Y27" s="77"/>
      <c r="Z27" s="77">
        <v>17352119</v>
      </c>
      <c r="AA27" s="77"/>
      <c r="AB27" s="77"/>
      <c r="AC27" s="77"/>
      <c r="AD27" s="77"/>
    </row>
    <row r="28" spans="1:30" ht="17" customHeight="1" x14ac:dyDescent="0.15">
      <c r="A28" s="55" t="s">
        <v>29</v>
      </c>
      <c r="B28" s="55"/>
      <c r="C28" s="55"/>
      <c r="D28" s="61">
        <v>16325819</v>
      </c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2">
        <v>16864919</v>
      </c>
      <c r="S28" s="62"/>
      <c r="T28" s="62"/>
      <c r="U28" s="62"/>
      <c r="V28" s="62"/>
      <c r="W28" s="62"/>
      <c r="X28" s="62"/>
      <c r="Y28" s="62"/>
      <c r="Z28" s="62">
        <v>17528214</v>
      </c>
      <c r="AA28" s="62"/>
      <c r="AB28" s="62"/>
      <c r="AC28" s="62"/>
      <c r="AD28" s="62"/>
    </row>
    <row r="29" spans="1:30" ht="12" customHeight="1" x14ac:dyDescent="0.15">
      <c r="A29" s="7" t="s">
        <v>31</v>
      </c>
    </row>
    <row r="30" spans="1:30" ht="12" customHeight="1" x14ac:dyDescent="0.15">
      <c r="A30" s="1" t="s">
        <v>32</v>
      </c>
    </row>
    <row r="31" spans="1:30" ht="12" customHeight="1" x14ac:dyDescent="0.15">
      <c r="A31" s="2" t="s">
        <v>33</v>
      </c>
    </row>
    <row r="32" spans="1:30" ht="14" customHeight="1" x14ac:dyDescent="0.15">
      <c r="A32" s="51"/>
      <c r="B32" s="51"/>
      <c r="C32" s="51"/>
      <c r="D32" s="51"/>
      <c r="E32" s="51"/>
      <c r="F32" s="51"/>
      <c r="G32" s="51"/>
      <c r="H32" s="51"/>
      <c r="I32" s="51"/>
      <c r="J32" s="52"/>
      <c r="K32" s="52"/>
      <c r="L32" s="52"/>
      <c r="M32" s="52"/>
      <c r="N32" s="52"/>
      <c r="O32" s="52"/>
      <c r="P32" s="52"/>
      <c r="Q32" s="53" t="s">
        <v>2</v>
      </c>
      <c r="R32" s="53"/>
      <c r="S32" s="53"/>
      <c r="T32" s="53"/>
      <c r="U32" s="53"/>
      <c r="V32" s="53"/>
      <c r="W32" s="53"/>
      <c r="X32" s="53"/>
      <c r="Y32" s="52"/>
      <c r="Z32" s="52"/>
      <c r="AA32" s="52"/>
      <c r="AB32" s="52"/>
      <c r="AC32" s="52"/>
      <c r="AD32" s="52"/>
    </row>
    <row r="33" spans="1:30" ht="21" customHeight="1" x14ac:dyDescent="0.15">
      <c r="A33" s="51"/>
      <c r="B33" s="51"/>
      <c r="C33" s="51"/>
      <c r="D33" s="51"/>
      <c r="E33" s="51"/>
      <c r="F33" s="51"/>
      <c r="G33" s="51"/>
      <c r="H33" s="51"/>
      <c r="I33" s="51"/>
      <c r="J33" s="54" t="s">
        <v>3</v>
      </c>
      <c r="K33" s="54"/>
      <c r="L33" s="54"/>
      <c r="M33" s="54"/>
      <c r="N33" s="54"/>
      <c r="O33" s="54"/>
      <c r="P33" s="54"/>
      <c r="Q33" s="54" t="s">
        <v>4</v>
      </c>
      <c r="R33" s="54"/>
      <c r="S33" s="54"/>
      <c r="T33" s="54"/>
      <c r="U33" s="54"/>
      <c r="V33" s="54"/>
      <c r="W33" s="54"/>
      <c r="X33" s="54"/>
      <c r="Y33" s="54" t="s">
        <v>5</v>
      </c>
      <c r="Z33" s="54"/>
      <c r="AA33" s="54"/>
      <c r="AB33" s="54"/>
      <c r="AC33" s="54"/>
      <c r="AD33" s="54"/>
    </row>
    <row r="34" spans="1:30" ht="13" customHeight="1" x14ac:dyDescent="0.15">
      <c r="A34" s="55" t="s">
        <v>24</v>
      </c>
      <c r="B34" s="55"/>
      <c r="C34" s="55"/>
      <c r="D34" s="55"/>
      <c r="E34" s="55"/>
      <c r="F34" s="55"/>
      <c r="G34" s="55"/>
      <c r="H34" s="55"/>
      <c r="I34" s="55"/>
      <c r="J34" s="78" t="s">
        <v>34</v>
      </c>
      <c r="K34" s="78"/>
      <c r="L34" s="78"/>
      <c r="M34" s="78"/>
      <c r="N34" s="78"/>
      <c r="O34" s="78"/>
      <c r="P34" s="78"/>
      <c r="Q34" s="78" t="s">
        <v>35</v>
      </c>
      <c r="R34" s="78"/>
      <c r="S34" s="78"/>
      <c r="T34" s="78"/>
      <c r="U34" s="78"/>
      <c r="V34" s="78"/>
      <c r="W34" s="78"/>
      <c r="X34" s="78"/>
      <c r="Y34" s="78" t="s">
        <v>36</v>
      </c>
      <c r="Z34" s="78"/>
      <c r="AA34" s="78"/>
      <c r="AB34" s="78"/>
      <c r="AC34" s="78"/>
      <c r="AD34" s="78"/>
    </row>
    <row r="35" spans="1:30" ht="14" customHeight="1" x14ac:dyDescent="0.15">
      <c r="A35" s="57" t="s">
        <v>37</v>
      </c>
      <c r="B35" s="57"/>
      <c r="C35" s="57"/>
      <c r="D35" s="57"/>
      <c r="E35" s="57"/>
      <c r="F35" s="57"/>
      <c r="G35" s="57"/>
      <c r="H35" s="57"/>
      <c r="I35" s="57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</row>
    <row r="36" spans="1:30" ht="19" customHeight="1" x14ac:dyDescent="0.15">
      <c r="A36" s="55" t="s">
        <v>38</v>
      </c>
      <c r="B36" s="55"/>
      <c r="C36" s="55"/>
      <c r="D36" s="55"/>
      <c r="E36" s="55"/>
      <c r="F36" s="55"/>
      <c r="G36" s="55"/>
      <c r="H36" s="55"/>
      <c r="I36" s="55"/>
      <c r="J36" s="79">
        <v>-1511</v>
      </c>
      <c r="K36" s="79"/>
      <c r="L36" s="79"/>
      <c r="M36" s="79"/>
      <c r="N36" s="79"/>
      <c r="O36" s="79"/>
      <c r="P36" s="79"/>
      <c r="Q36" s="80">
        <v>501</v>
      </c>
      <c r="R36" s="80"/>
      <c r="S36" s="80"/>
      <c r="T36" s="80"/>
      <c r="U36" s="80"/>
      <c r="V36" s="80"/>
      <c r="W36" s="80"/>
      <c r="X36" s="80"/>
      <c r="Y36" s="80">
        <v>88</v>
      </c>
      <c r="Z36" s="80"/>
      <c r="AA36" s="80"/>
      <c r="AB36" s="80"/>
      <c r="AC36" s="80"/>
      <c r="AD36" s="80"/>
    </row>
    <row r="37" spans="1:30" ht="12" customHeight="1" x14ac:dyDescent="0.15">
      <c r="A37" s="7" t="s">
        <v>39</v>
      </c>
    </row>
    <row r="38" spans="1:30" ht="14" customHeight="1" x14ac:dyDescent="0.15">
      <c r="A38" s="57" t="s">
        <v>40</v>
      </c>
      <c r="B38" s="57"/>
      <c r="C38" s="57"/>
      <c r="D38" s="57"/>
      <c r="E38" s="57"/>
      <c r="F38" s="57"/>
      <c r="G38" s="57"/>
      <c r="H38" s="57"/>
      <c r="I38" s="57"/>
      <c r="J38" s="57"/>
      <c r="K38" s="77">
        <v>3212</v>
      </c>
      <c r="L38" s="77"/>
      <c r="M38" s="77"/>
      <c r="N38" s="77"/>
      <c r="O38" s="77"/>
      <c r="P38" s="77"/>
      <c r="Q38" s="77"/>
      <c r="R38" s="77"/>
      <c r="S38" s="77"/>
      <c r="T38" s="81">
        <v>32</v>
      </c>
      <c r="U38" s="81"/>
      <c r="V38" s="81"/>
      <c r="W38" s="81"/>
      <c r="X38" s="81"/>
      <c r="Y38" s="81"/>
      <c r="Z38" s="81"/>
      <c r="AA38" s="82">
        <v>79</v>
      </c>
      <c r="AB38" s="82"/>
      <c r="AC38" s="82"/>
      <c r="AD38" s="82"/>
    </row>
    <row r="39" spans="1:30" ht="25" customHeight="1" x14ac:dyDescent="0.15">
      <c r="A39" s="55" t="s">
        <v>41</v>
      </c>
      <c r="B39" s="55"/>
      <c r="C39" s="55"/>
      <c r="D39" s="55"/>
      <c r="E39" s="55"/>
      <c r="F39" s="55"/>
      <c r="G39" s="55"/>
      <c r="H39" s="55"/>
      <c r="I39" s="55"/>
      <c r="J39" s="55"/>
      <c r="K39" s="83">
        <v>-1074</v>
      </c>
      <c r="L39" s="83"/>
      <c r="M39" s="83"/>
      <c r="N39" s="83"/>
      <c r="O39" s="83"/>
      <c r="P39" s="83"/>
      <c r="Q39" s="83"/>
      <c r="R39" s="83"/>
      <c r="S39" s="83"/>
      <c r="T39" s="84">
        <v>1003</v>
      </c>
      <c r="U39" s="84"/>
      <c r="V39" s="84"/>
      <c r="W39" s="84"/>
      <c r="X39" s="84"/>
      <c r="Y39" s="84"/>
      <c r="Z39" s="84"/>
      <c r="AA39" s="83">
        <v>-1264</v>
      </c>
      <c r="AB39" s="83"/>
      <c r="AC39" s="83"/>
      <c r="AD39" s="83"/>
    </row>
    <row r="40" spans="1:30" ht="23" customHeight="1" x14ac:dyDescent="0.15">
      <c r="A40" s="60" t="s">
        <v>42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</row>
    <row r="41" spans="1:30" ht="23" customHeight="1" x14ac:dyDescent="0.15">
      <c r="A41" s="57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</row>
    <row r="42" spans="1:30" ht="13" customHeight="1" x14ac:dyDescent="0.15">
      <c r="A42" s="55" t="s">
        <v>44</v>
      </c>
      <c r="B42" s="55"/>
      <c r="C42" s="55"/>
      <c r="D42" s="55"/>
      <c r="E42" s="55"/>
      <c r="F42" s="55"/>
      <c r="G42" s="55"/>
      <c r="H42" s="55"/>
      <c r="I42" s="55"/>
      <c r="J42" s="79">
        <v>-12104</v>
      </c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85">
        <v>-694</v>
      </c>
      <c r="V42" s="85"/>
      <c r="W42" s="85"/>
      <c r="X42" s="85"/>
      <c r="Y42" s="85"/>
      <c r="Z42" s="85"/>
      <c r="AA42" s="85"/>
      <c r="AB42" s="62">
        <v>1202</v>
      </c>
      <c r="AC42" s="62"/>
      <c r="AD42" s="62"/>
    </row>
    <row r="43" spans="1:30" ht="23" customHeight="1" x14ac:dyDescent="0.15">
      <c r="A43" s="57" t="s">
        <v>41</v>
      </c>
      <c r="B43" s="57"/>
      <c r="C43" s="57"/>
      <c r="D43" s="57"/>
      <c r="E43" s="57"/>
      <c r="F43" s="57"/>
      <c r="G43" s="57"/>
      <c r="H43" s="57"/>
      <c r="I43" s="57"/>
      <c r="J43" s="86">
        <v>205</v>
      </c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7">
        <v>-273</v>
      </c>
      <c r="V43" s="87"/>
      <c r="W43" s="87"/>
      <c r="X43" s="87"/>
      <c r="Y43" s="87"/>
      <c r="Z43" s="87"/>
      <c r="AA43" s="87"/>
      <c r="AB43" s="88">
        <v>-63</v>
      </c>
      <c r="AC43" s="88"/>
      <c r="AD43" s="88"/>
    </row>
    <row r="44" spans="1:30" ht="12" customHeight="1" x14ac:dyDescent="0.15">
      <c r="A44" s="7" t="s">
        <v>45</v>
      </c>
    </row>
    <row r="45" spans="1:30" ht="12" customHeight="1" x14ac:dyDescent="0.15">
      <c r="A45" s="7" t="s">
        <v>46</v>
      </c>
    </row>
    <row r="46" spans="1:30" ht="14" customHeight="1" x14ac:dyDescent="0.1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</row>
    <row r="47" spans="1:30" ht="19" customHeight="1" x14ac:dyDescent="0.15">
      <c r="A47" s="55" t="s">
        <v>47</v>
      </c>
      <c r="B47" s="55"/>
      <c r="C47" s="55"/>
      <c r="D47" s="55"/>
      <c r="E47" s="55"/>
      <c r="F47" s="55"/>
      <c r="G47" s="51"/>
      <c r="H47" s="51"/>
      <c r="I47" s="51"/>
      <c r="J47" s="51"/>
      <c r="K47" s="51"/>
      <c r="L47" s="89">
        <v>-11272</v>
      </c>
      <c r="M47" s="89"/>
      <c r="N47" s="89"/>
      <c r="O47" s="89"/>
      <c r="P47" s="52"/>
      <c r="Q47" s="52"/>
      <c r="R47" s="52"/>
      <c r="S47" s="52"/>
      <c r="T47" s="52"/>
      <c r="U47" s="90">
        <v>569</v>
      </c>
      <c r="V47" s="90"/>
      <c r="W47" s="90"/>
      <c r="X47" s="90"/>
      <c r="Y47" s="91">
        <v>42</v>
      </c>
      <c r="Z47" s="91"/>
      <c r="AA47" s="91"/>
      <c r="AB47" s="91"/>
      <c r="AC47" s="91"/>
      <c r="AD47" s="91"/>
    </row>
    <row r="48" spans="1:30" ht="14" customHeight="1" x14ac:dyDescent="0.15">
      <c r="A48" s="57" t="s">
        <v>48</v>
      </c>
      <c r="B48" s="57"/>
      <c r="C48" s="57"/>
      <c r="D48" s="57"/>
      <c r="E48" s="57"/>
      <c r="F48" s="57"/>
      <c r="G48" s="72" t="s">
        <v>25</v>
      </c>
      <c r="H48" s="72"/>
      <c r="I48" s="72"/>
      <c r="J48" s="72"/>
      <c r="K48" s="72"/>
      <c r="L48" s="66">
        <v>88531</v>
      </c>
      <c r="M48" s="66"/>
      <c r="N48" s="66"/>
      <c r="O48" s="66"/>
      <c r="P48" s="92" t="s">
        <v>25</v>
      </c>
      <c r="Q48" s="92"/>
      <c r="R48" s="92"/>
      <c r="S48" s="92"/>
      <c r="T48" s="92"/>
      <c r="U48" s="66">
        <v>95249</v>
      </c>
      <c r="V48" s="66"/>
      <c r="W48" s="66"/>
      <c r="X48" s="66"/>
      <c r="Y48" s="92" t="s">
        <v>49</v>
      </c>
      <c r="Z48" s="92"/>
      <c r="AA48" s="92"/>
      <c r="AB48" s="92"/>
      <c r="AC48" s="92"/>
      <c r="AD48" s="92"/>
    </row>
    <row r="49" spans="1:30" ht="12" customHeight="1" x14ac:dyDescent="0.15">
      <c r="A49" s="7" t="s">
        <v>31</v>
      </c>
    </row>
    <row r="50" spans="1:30" ht="12" customHeight="1" x14ac:dyDescent="0.15">
      <c r="A50" s="1" t="s">
        <v>50</v>
      </c>
    </row>
    <row r="51" spans="1:30" ht="12" customHeight="1" x14ac:dyDescent="0.15">
      <c r="A51" s="2" t="s">
        <v>51</v>
      </c>
    </row>
    <row r="52" spans="1:30" ht="22" customHeight="1" x14ac:dyDescent="0.15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93" t="s">
        <v>3</v>
      </c>
      <c r="O52" s="93"/>
      <c r="P52" s="93"/>
      <c r="Q52" s="93"/>
      <c r="R52" s="93"/>
      <c r="S52" s="93"/>
      <c r="T52" s="93"/>
      <c r="U52" s="93"/>
      <c r="V52" s="93"/>
      <c r="W52" s="93"/>
      <c r="X52" s="93" t="s">
        <v>4</v>
      </c>
      <c r="Y52" s="93"/>
      <c r="Z52" s="93"/>
      <c r="AA52" s="93"/>
      <c r="AB52" s="93"/>
      <c r="AC52" s="93"/>
      <c r="AD52" s="93"/>
    </row>
    <row r="53" spans="1:30" ht="13" customHeight="1" x14ac:dyDescent="0.15">
      <c r="A53" s="51"/>
      <c r="B53" s="51"/>
      <c r="C53" s="94" t="s">
        <v>52</v>
      </c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</row>
    <row r="54" spans="1:30" ht="14" customHeight="1" x14ac:dyDescent="0.15">
      <c r="A54" s="57" t="s">
        <v>53</v>
      </c>
      <c r="B54" s="57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</row>
    <row r="55" spans="1:30" ht="14" customHeight="1" x14ac:dyDescent="0.15">
      <c r="A55" s="55" t="s">
        <v>54</v>
      </c>
      <c r="B55" s="55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5" t="s">
        <v>55</v>
      </c>
      <c r="O55" s="55"/>
      <c r="P55" s="55"/>
      <c r="Q55" s="55"/>
      <c r="R55" s="55"/>
      <c r="S55" s="55"/>
      <c r="T55" s="55"/>
      <c r="U55" s="55"/>
      <c r="V55" s="55"/>
      <c r="W55" s="55"/>
      <c r="X55" s="55" t="s">
        <v>56</v>
      </c>
      <c r="Y55" s="55"/>
      <c r="Z55" s="55"/>
      <c r="AA55" s="55"/>
      <c r="AB55" s="55"/>
      <c r="AC55" s="55"/>
      <c r="AD55" s="55"/>
    </row>
    <row r="56" spans="1:30" ht="14" customHeight="1" x14ac:dyDescent="0.15">
      <c r="A56" s="57" t="s">
        <v>57</v>
      </c>
      <c r="B56" s="57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77">
        <v>24658</v>
      </c>
      <c r="O56" s="77"/>
      <c r="P56" s="77"/>
      <c r="Q56" s="77"/>
      <c r="R56" s="77"/>
      <c r="S56" s="77"/>
      <c r="T56" s="77"/>
      <c r="U56" s="77"/>
      <c r="V56" s="77"/>
      <c r="W56" s="77"/>
      <c r="X56" s="77">
        <v>27699</v>
      </c>
      <c r="Y56" s="77"/>
      <c r="Z56" s="77"/>
      <c r="AA56" s="77"/>
      <c r="AB56" s="77"/>
      <c r="AC56" s="77"/>
      <c r="AD56" s="77"/>
    </row>
    <row r="57" spans="1:30" ht="14" customHeight="1" x14ac:dyDescent="0.15">
      <c r="A57" s="55" t="s">
        <v>58</v>
      </c>
      <c r="B57" s="55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62">
        <v>28184</v>
      </c>
      <c r="O57" s="62"/>
      <c r="P57" s="62"/>
      <c r="Q57" s="62"/>
      <c r="R57" s="62"/>
      <c r="S57" s="62"/>
      <c r="T57" s="62"/>
      <c r="U57" s="62"/>
      <c r="V57" s="62"/>
      <c r="W57" s="62"/>
      <c r="X57" s="62">
        <v>26278</v>
      </c>
      <c r="Y57" s="62"/>
      <c r="Z57" s="62"/>
      <c r="AA57" s="62"/>
      <c r="AB57" s="62"/>
      <c r="AC57" s="62"/>
      <c r="AD57" s="62"/>
    </row>
    <row r="58" spans="1:30" ht="14" customHeight="1" x14ac:dyDescent="0.15">
      <c r="A58" s="57" t="s">
        <v>59</v>
      </c>
      <c r="B58" s="57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77">
        <v>4946</v>
      </c>
      <c r="O58" s="77"/>
      <c r="P58" s="77"/>
      <c r="Q58" s="77"/>
      <c r="R58" s="77"/>
      <c r="S58" s="77"/>
      <c r="T58" s="77"/>
      <c r="U58" s="77"/>
      <c r="V58" s="77"/>
      <c r="W58" s="77"/>
      <c r="X58" s="77">
        <v>6580</v>
      </c>
      <c r="Y58" s="77"/>
      <c r="Z58" s="77"/>
      <c r="AA58" s="77"/>
      <c r="AB58" s="77"/>
      <c r="AC58" s="77"/>
      <c r="AD58" s="77"/>
    </row>
    <row r="59" spans="1:30" ht="14" customHeight="1" x14ac:dyDescent="0.15">
      <c r="A59" s="55" t="s">
        <v>60</v>
      </c>
      <c r="B59" s="55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62">
        <v>32748</v>
      </c>
      <c r="O59" s="62"/>
      <c r="P59" s="62"/>
      <c r="Q59" s="62"/>
      <c r="R59" s="62"/>
      <c r="S59" s="62"/>
      <c r="T59" s="62"/>
      <c r="U59" s="62"/>
      <c r="V59" s="62"/>
      <c r="W59" s="62"/>
      <c r="X59" s="62">
        <v>25228</v>
      </c>
      <c r="Y59" s="62"/>
      <c r="Z59" s="62"/>
      <c r="AA59" s="62"/>
      <c r="AB59" s="62"/>
      <c r="AC59" s="62"/>
      <c r="AD59" s="62"/>
    </row>
    <row r="60" spans="1:30" ht="14" customHeight="1" x14ac:dyDescent="0.15">
      <c r="A60" s="57" t="s">
        <v>61</v>
      </c>
      <c r="B60" s="57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4">
        <v>21223</v>
      </c>
      <c r="O60" s="64"/>
      <c r="P60" s="64"/>
      <c r="Q60" s="64"/>
      <c r="R60" s="64"/>
      <c r="S60" s="64"/>
      <c r="T60" s="64"/>
      <c r="U60" s="64"/>
      <c r="V60" s="64"/>
      <c r="W60" s="64"/>
      <c r="X60" s="64">
        <v>14111</v>
      </c>
      <c r="Y60" s="64"/>
      <c r="Z60" s="64"/>
      <c r="AA60" s="64"/>
      <c r="AB60" s="64"/>
      <c r="AC60" s="64"/>
      <c r="AD60" s="64"/>
    </row>
    <row r="61" spans="1:30" ht="14" customHeight="1" x14ac:dyDescent="0.15">
      <c r="A61" s="55" t="s">
        <v>62</v>
      </c>
      <c r="B61" s="55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71">
        <v>135405</v>
      </c>
      <c r="O61" s="71"/>
      <c r="P61" s="71"/>
      <c r="Q61" s="71"/>
      <c r="R61" s="71"/>
      <c r="S61" s="71"/>
      <c r="T61" s="71"/>
      <c r="U61" s="71"/>
      <c r="V61" s="71"/>
      <c r="W61" s="71"/>
      <c r="X61" s="71">
        <v>134836</v>
      </c>
      <c r="Y61" s="71"/>
      <c r="Z61" s="71"/>
      <c r="AA61" s="71"/>
      <c r="AB61" s="71"/>
      <c r="AC61" s="71"/>
      <c r="AD61" s="71"/>
    </row>
    <row r="62" spans="1:30" ht="14" customHeight="1" x14ac:dyDescent="0.1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</row>
    <row r="63" spans="1:30" ht="12" customHeight="1" x14ac:dyDescent="0.15">
      <c r="A63" s="7" t="s">
        <v>63</v>
      </c>
    </row>
    <row r="64" spans="1:30" ht="14" customHeight="1" x14ac:dyDescent="0.15">
      <c r="A64" s="60" t="s">
        <v>64</v>
      </c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77">
        <v>120805</v>
      </c>
      <c r="Q64" s="77"/>
      <c r="R64" s="77"/>
      <c r="S64" s="77"/>
      <c r="T64" s="77"/>
      <c r="U64" s="77"/>
      <c r="V64" s="77">
        <v>127877</v>
      </c>
      <c r="W64" s="77"/>
      <c r="X64" s="77"/>
      <c r="Y64" s="77"/>
      <c r="Z64" s="77"/>
      <c r="AA64" s="77"/>
      <c r="AB64" s="77"/>
      <c r="AC64" s="77"/>
    </row>
    <row r="65" spans="1:29" ht="14" customHeight="1" x14ac:dyDescent="0.1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2">
        <v>42117</v>
      </c>
      <c r="Q65" s="62"/>
      <c r="R65" s="62"/>
      <c r="S65" s="62"/>
      <c r="T65" s="62"/>
      <c r="U65" s="62"/>
      <c r="V65" s="62">
        <v>39440</v>
      </c>
      <c r="W65" s="62"/>
      <c r="X65" s="62"/>
      <c r="Y65" s="62"/>
      <c r="Z65" s="62"/>
      <c r="AA65" s="62"/>
      <c r="AB65" s="62"/>
      <c r="AC65" s="62"/>
    </row>
    <row r="66" spans="1:29" ht="14" customHeight="1" x14ac:dyDescent="0.1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4">
        <v>54428</v>
      </c>
      <c r="Q66" s="64"/>
      <c r="R66" s="64"/>
      <c r="S66" s="64"/>
      <c r="T66" s="64"/>
      <c r="U66" s="64"/>
      <c r="V66" s="64">
        <v>48849</v>
      </c>
      <c r="W66" s="64"/>
      <c r="X66" s="64"/>
      <c r="Y66" s="64"/>
      <c r="Z66" s="64"/>
      <c r="AA66" s="64"/>
      <c r="AB66" s="64"/>
      <c r="AC66" s="64"/>
    </row>
    <row r="67" spans="1:29" ht="14" customHeight="1" x14ac:dyDescent="0.1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5">
        <v>217350</v>
      </c>
      <c r="Q67" s="65"/>
      <c r="R67" s="65"/>
      <c r="S67" s="65"/>
      <c r="T67" s="65"/>
      <c r="U67" s="65"/>
      <c r="V67" s="65">
        <v>216166</v>
      </c>
      <c r="W67" s="65"/>
      <c r="X67" s="65"/>
      <c r="Y67" s="65"/>
      <c r="Z67" s="65"/>
      <c r="AA67" s="65"/>
      <c r="AB67" s="65"/>
      <c r="AC67" s="65"/>
    </row>
    <row r="68" spans="1:29" ht="14" customHeight="1" x14ac:dyDescent="0.15">
      <c r="A68" s="5" t="s">
        <v>65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57" t="s">
        <v>25</v>
      </c>
      <c r="N68" s="57"/>
      <c r="O68" s="57"/>
      <c r="P68" s="59">
        <v>352755</v>
      </c>
      <c r="Q68" s="59"/>
      <c r="R68" s="59"/>
      <c r="S68" s="59"/>
      <c r="T68" s="59"/>
      <c r="U68" s="59"/>
      <c r="V68" s="73" t="s">
        <v>66</v>
      </c>
      <c r="W68" s="73"/>
      <c r="X68" s="73"/>
      <c r="Y68" s="73"/>
      <c r="Z68" s="73"/>
      <c r="AA68" s="73"/>
      <c r="AB68" s="73"/>
      <c r="AC68" s="73"/>
    </row>
    <row r="69" spans="1:29" ht="28" customHeight="1" x14ac:dyDescent="0.15">
      <c r="A69" s="5" t="s">
        <v>67</v>
      </c>
      <c r="B69" s="95" t="s">
        <v>68</v>
      </c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</row>
    <row r="70" spans="1:29" ht="28" customHeight="1" x14ac:dyDescent="0.15">
      <c r="A70" s="5" t="s">
        <v>69</v>
      </c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96" t="s">
        <v>28</v>
      </c>
      <c r="N70" s="96"/>
      <c r="O70" s="96"/>
      <c r="P70" s="77">
        <v>64115</v>
      </c>
      <c r="Q70" s="77"/>
      <c r="R70" s="77"/>
      <c r="S70" s="77"/>
      <c r="T70" s="77"/>
      <c r="U70" s="77"/>
      <c r="V70" s="57" t="s">
        <v>70</v>
      </c>
      <c r="W70" s="57"/>
      <c r="X70" s="57"/>
      <c r="Y70" s="57"/>
      <c r="Z70" s="57"/>
      <c r="AA70" s="57"/>
      <c r="AB70" s="57"/>
      <c r="AC70" s="57"/>
    </row>
    <row r="71" spans="1:29" ht="14" customHeight="1" x14ac:dyDescent="0.15">
      <c r="A71" s="4" t="s">
        <v>71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2">
        <v>60845</v>
      </c>
      <c r="Q71" s="62"/>
      <c r="R71" s="62"/>
      <c r="S71" s="62"/>
      <c r="T71" s="62"/>
      <c r="U71" s="62"/>
      <c r="V71" s="62">
        <v>47493</v>
      </c>
      <c r="W71" s="62"/>
      <c r="X71" s="62"/>
      <c r="Y71" s="62"/>
      <c r="Z71" s="62"/>
      <c r="AA71" s="62"/>
      <c r="AB71" s="62"/>
      <c r="AC71" s="62"/>
    </row>
    <row r="72" spans="1:29" ht="14" customHeight="1" x14ac:dyDescent="0.15">
      <c r="A72" s="5" t="s">
        <v>72</v>
      </c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77">
        <v>7912</v>
      </c>
      <c r="Q72" s="77"/>
      <c r="R72" s="77"/>
      <c r="S72" s="77"/>
      <c r="T72" s="77"/>
      <c r="U72" s="77"/>
      <c r="V72" s="77">
        <v>7612</v>
      </c>
      <c r="W72" s="77"/>
      <c r="X72" s="77"/>
      <c r="Y72" s="77"/>
      <c r="Z72" s="77"/>
      <c r="AA72" s="77"/>
      <c r="AB72" s="77"/>
      <c r="AC72" s="77"/>
    </row>
    <row r="73" spans="1:29" ht="14" customHeight="1" x14ac:dyDescent="0.15">
      <c r="A73" s="4" t="s">
        <v>73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62">
        <v>9982</v>
      </c>
      <c r="Q73" s="62"/>
      <c r="R73" s="62"/>
      <c r="S73" s="62"/>
      <c r="T73" s="62"/>
      <c r="U73" s="62"/>
      <c r="V73" s="62">
        <v>6000</v>
      </c>
      <c r="W73" s="62"/>
      <c r="X73" s="62"/>
      <c r="Y73" s="62"/>
      <c r="Z73" s="62"/>
      <c r="AA73" s="62"/>
      <c r="AB73" s="62"/>
      <c r="AC73" s="62"/>
    </row>
    <row r="74" spans="1:29" ht="14" customHeight="1" x14ac:dyDescent="0.15">
      <c r="A74" s="5" t="s">
        <v>74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4">
        <v>11128</v>
      </c>
      <c r="Q74" s="64"/>
      <c r="R74" s="64"/>
      <c r="S74" s="64"/>
      <c r="T74" s="64"/>
      <c r="U74" s="64"/>
      <c r="V74" s="64">
        <v>9613</v>
      </c>
      <c r="W74" s="64"/>
      <c r="X74" s="64"/>
      <c r="Y74" s="64"/>
      <c r="Z74" s="64"/>
      <c r="AA74" s="64"/>
      <c r="AB74" s="64"/>
      <c r="AC74" s="64"/>
    </row>
    <row r="75" spans="1:29" ht="14" customHeight="1" x14ac:dyDescent="0.15">
      <c r="A75" s="3" t="s">
        <v>75</v>
      </c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71">
        <v>153982</v>
      </c>
      <c r="Q75" s="71"/>
      <c r="R75" s="71"/>
      <c r="S75" s="71"/>
      <c r="T75" s="71"/>
      <c r="U75" s="71"/>
      <c r="V75" s="71">
        <v>125481</v>
      </c>
      <c r="W75" s="71"/>
      <c r="X75" s="71"/>
      <c r="Y75" s="71"/>
      <c r="Z75" s="71"/>
      <c r="AA75" s="71"/>
      <c r="AB75" s="71"/>
      <c r="AC75" s="71"/>
    </row>
    <row r="76" spans="1:29" ht="42" customHeight="1" x14ac:dyDescent="0.15">
      <c r="A76" s="5" t="s">
        <v>74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77">
        <v>98959</v>
      </c>
      <c r="Q76" s="77"/>
      <c r="R76" s="77"/>
      <c r="S76" s="77"/>
      <c r="T76" s="77"/>
      <c r="U76" s="77"/>
      <c r="V76" s="77">
        <v>109106</v>
      </c>
      <c r="W76" s="77"/>
      <c r="X76" s="77"/>
      <c r="Y76" s="77"/>
      <c r="Z76" s="77"/>
      <c r="AA76" s="77"/>
      <c r="AB76" s="77"/>
      <c r="AC76" s="77"/>
    </row>
    <row r="77" spans="1:29" ht="14" customHeight="1" x14ac:dyDescent="0.15">
      <c r="A77" s="4" t="s">
        <v>76</v>
      </c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8">
        <v>49142</v>
      </c>
      <c r="Q77" s="58"/>
      <c r="R77" s="58"/>
      <c r="S77" s="58"/>
      <c r="T77" s="58"/>
      <c r="U77" s="58"/>
      <c r="V77" s="58">
        <v>53325</v>
      </c>
      <c r="W77" s="58"/>
      <c r="X77" s="58"/>
      <c r="Y77" s="58"/>
      <c r="Z77" s="58"/>
      <c r="AA77" s="58"/>
      <c r="AB77" s="58"/>
      <c r="AC77" s="58"/>
    </row>
    <row r="78" spans="1:29" ht="14" customHeight="1" x14ac:dyDescent="0.15">
      <c r="A78" s="5" t="s">
        <v>77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6">
        <v>148101</v>
      </c>
      <c r="Q78" s="66"/>
      <c r="R78" s="66"/>
      <c r="S78" s="66"/>
      <c r="T78" s="66"/>
      <c r="U78" s="66"/>
      <c r="V78" s="66">
        <v>162431</v>
      </c>
      <c r="W78" s="66"/>
      <c r="X78" s="66"/>
      <c r="Y78" s="66"/>
      <c r="Z78" s="66"/>
      <c r="AA78" s="66"/>
      <c r="AB78" s="66"/>
      <c r="AC78" s="66"/>
    </row>
    <row r="79" spans="1:29" ht="19" customHeight="1" x14ac:dyDescent="0.15">
      <c r="A79" s="4" t="s">
        <v>78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71">
        <v>302083</v>
      </c>
      <c r="Q79" s="71"/>
      <c r="R79" s="71"/>
      <c r="S79" s="71"/>
      <c r="T79" s="71"/>
      <c r="U79" s="71"/>
      <c r="V79" s="71">
        <v>287912</v>
      </c>
      <c r="W79" s="71"/>
      <c r="X79" s="71"/>
      <c r="Y79" s="71"/>
      <c r="Z79" s="71"/>
      <c r="AA79" s="71"/>
      <c r="AB79" s="71"/>
      <c r="AC79" s="71"/>
    </row>
    <row r="80" spans="1:29" ht="12" customHeight="1" x14ac:dyDescent="0.15">
      <c r="A80" s="7" t="s">
        <v>79</v>
      </c>
    </row>
    <row r="81" spans="1:30" ht="12" customHeight="1" x14ac:dyDescent="0.15">
      <c r="A81" s="7" t="s">
        <v>80</v>
      </c>
    </row>
    <row r="82" spans="1:30" ht="14" customHeight="1" x14ac:dyDescent="0.1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</row>
    <row r="83" spans="1:30" ht="12" customHeight="1" x14ac:dyDescent="0.15">
      <c r="A83" s="7" t="s">
        <v>81</v>
      </c>
    </row>
    <row r="84" spans="1:30" ht="12" customHeight="1" x14ac:dyDescent="0.15">
      <c r="A84" s="7" t="s">
        <v>82</v>
      </c>
    </row>
    <row r="85" spans="1:30" ht="12" customHeight="1" x14ac:dyDescent="0.15">
      <c r="A85" s="7" t="s">
        <v>83</v>
      </c>
    </row>
    <row r="86" spans="1:30" ht="8" customHeight="1" x14ac:dyDescent="0.15">
      <c r="A86" s="57" t="s">
        <v>84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60"/>
      <c r="P86" s="60"/>
      <c r="Q86" s="60"/>
      <c r="R86" s="60"/>
      <c r="S86" s="77">
        <v>64849</v>
      </c>
      <c r="T86" s="77"/>
      <c r="U86" s="77"/>
      <c r="V86" s="77"/>
      <c r="W86" s="77"/>
      <c r="X86" s="77">
        <v>57365</v>
      </c>
      <c r="Y86" s="77"/>
      <c r="Z86" s="77"/>
      <c r="AA86" s="77"/>
      <c r="AB86" s="77"/>
      <c r="AC86" s="77"/>
      <c r="AD86" s="77"/>
    </row>
    <row r="87" spans="1:30" ht="14" customHeight="1" x14ac:dyDescent="0.15">
      <c r="A87" s="55" t="s">
        <v>85</v>
      </c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1"/>
      <c r="P87" s="51"/>
      <c r="Q87" s="51"/>
      <c r="R87" s="51"/>
      <c r="S87" s="79">
        <v>-3068</v>
      </c>
      <c r="T87" s="79"/>
      <c r="U87" s="79"/>
      <c r="V87" s="79"/>
      <c r="W87" s="79"/>
      <c r="X87" s="62">
        <v>5562</v>
      </c>
      <c r="Y87" s="62"/>
      <c r="Z87" s="62"/>
      <c r="AA87" s="62"/>
      <c r="AB87" s="62"/>
      <c r="AC87" s="62"/>
      <c r="AD87" s="62"/>
    </row>
    <row r="88" spans="1:30" ht="14" customHeight="1" x14ac:dyDescent="0.15">
      <c r="A88" s="57" t="s">
        <v>86</v>
      </c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67"/>
      <c r="P88" s="67"/>
      <c r="Q88" s="67"/>
      <c r="R88" s="67"/>
      <c r="S88" s="97">
        <v>-11109</v>
      </c>
      <c r="T88" s="97"/>
      <c r="U88" s="97"/>
      <c r="V88" s="97"/>
      <c r="W88" s="97"/>
      <c r="X88" s="98">
        <v>163</v>
      </c>
      <c r="Y88" s="98"/>
      <c r="Z88" s="98"/>
      <c r="AA88" s="98"/>
      <c r="AB88" s="98"/>
      <c r="AC88" s="98"/>
      <c r="AD88" s="98"/>
    </row>
    <row r="89" spans="1:30" ht="14" customHeight="1" x14ac:dyDescent="0.15">
      <c r="A89" s="55" t="s">
        <v>87</v>
      </c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99"/>
      <c r="P89" s="99"/>
      <c r="Q89" s="99"/>
      <c r="R89" s="99"/>
      <c r="S89" s="65">
        <v>50672</v>
      </c>
      <c r="T89" s="65"/>
      <c r="U89" s="65"/>
      <c r="V89" s="65"/>
      <c r="W89" s="65"/>
      <c r="X89" s="65">
        <v>63090</v>
      </c>
      <c r="Y89" s="65"/>
      <c r="Z89" s="65"/>
      <c r="AA89" s="65"/>
      <c r="AB89" s="65"/>
      <c r="AC89" s="65"/>
      <c r="AD89" s="65"/>
    </row>
    <row r="90" spans="1:30" ht="14" customHeight="1" x14ac:dyDescent="0.15">
      <c r="A90" s="57" t="s">
        <v>88</v>
      </c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92" t="s">
        <v>25</v>
      </c>
      <c r="P90" s="92"/>
      <c r="Q90" s="92"/>
      <c r="R90" s="92"/>
      <c r="S90" s="66">
        <v>352755</v>
      </c>
      <c r="T90" s="66"/>
      <c r="U90" s="66"/>
      <c r="V90" s="66"/>
      <c r="W90" s="66"/>
      <c r="X90" s="92" t="s">
        <v>66</v>
      </c>
      <c r="Y90" s="92"/>
      <c r="Z90" s="92"/>
      <c r="AA90" s="92"/>
      <c r="AB90" s="92"/>
      <c r="AC90" s="92"/>
      <c r="AD90" s="92"/>
    </row>
    <row r="91" spans="1:30" ht="12" customHeight="1" x14ac:dyDescent="0.15">
      <c r="A91" s="7" t="s">
        <v>31</v>
      </c>
    </row>
    <row r="92" spans="1:30" ht="12" customHeight="1" x14ac:dyDescent="0.15">
      <c r="A92" s="1" t="s">
        <v>89</v>
      </c>
    </row>
    <row r="93" spans="1:30" ht="12" customHeight="1" x14ac:dyDescent="0.15">
      <c r="A93" s="2" t="s">
        <v>90</v>
      </c>
    </row>
    <row r="94" spans="1:30" ht="11" customHeight="1" x14ac:dyDescent="0.15">
      <c r="A94" s="8" t="s">
        <v>91</v>
      </c>
    </row>
    <row r="95" spans="1:30" ht="11" customHeight="1" x14ac:dyDescent="0.15">
      <c r="A95" s="9">
        <v>2022</v>
      </c>
    </row>
    <row r="96" spans="1:30" ht="11" customHeight="1" x14ac:dyDescent="0.15">
      <c r="A96" s="8" t="s">
        <v>2</v>
      </c>
    </row>
    <row r="97" spans="1:30" ht="11" customHeight="1" x14ac:dyDescent="0.15">
      <c r="A97" s="8" t="s">
        <v>92</v>
      </c>
    </row>
    <row r="98" spans="1:30" ht="11" customHeight="1" x14ac:dyDescent="0.15">
      <c r="A98" s="9">
        <v>2021</v>
      </c>
    </row>
    <row r="99" spans="1:30" ht="11" customHeight="1" x14ac:dyDescent="0.15">
      <c r="A99" s="8" t="s">
        <v>93</v>
      </c>
    </row>
    <row r="100" spans="1:30" ht="11" customHeight="1" x14ac:dyDescent="0.15">
      <c r="A100" s="9">
        <v>2020</v>
      </c>
    </row>
    <row r="101" spans="1:30" ht="12" customHeight="1" x14ac:dyDescent="0.15">
      <c r="A101" s="7" t="s">
        <v>94</v>
      </c>
    </row>
    <row r="102" spans="1:30" ht="12" customHeight="1" x14ac:dyDescent="0.15">
      <c r="A102" s="7" t="s">
        <v>95</v>
      </c>
    </row>
    <row r="103" spans="1:30" ht="14" customHeight="1" x14ac:dyDescent="0.1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</row>
    <row r="104" spans="1:30" ht="14" customHeight="1" x14ac:dyDescent="0.15">
      <c r="A104" s="57" t="s">
        <v>96</v>
      </c>
      <c r="B104" s="57"/>
      <c r="C104" s="57"/>
      <c r="D104" s="57"/>
      <c r="E104" s="57"/>
      <c r="F104" s="57"/>
      <c r="G104" s="57"/>
      <c r="H104" s="57"/>
      <c r="I104" s="6"/>
      <c r="J104" s="77">
        <v>57365</v>
      </c>
      <c r="K104" s="77"/>
      <c r="L104" s="77"/>
      <c r="M104" s="77"/>
      <c r="N104" s="60"/>
      <c r="O104" s="60"/>
      <c r="P104" s="60"/>
      <c r="Q104" s="77">
        <v>50779</v>
      </c>
      <c r="R104" s="77"/>
      <c r="S104" s="77"/>
      <c r="T104" s="77"/>
      <c r="U104" s="77"/>
      <c r="V104" s="77"/>
      <c r="W104" s="60"/>
      <c r="X104" s="60"/>
      <c r="Y104" s="60"/>
      <c r="Z104" s="77">
        <v>45174</v>
      </c>
      <c r="AA104" s="77"/>
      <c r="AB104" s="77"/>
      <c r="AC104" s="77"/>
    </row>
    <row r="105" spans="1:30" ht="14" customHeight="1" x14ac:dyDescent="0.15">
      <c r="A105" s="55" t="s">
        <v>97</v>
      </c>
      <c r="B105" s="55"/>
      <c r="C105" s="55"/>
      <c r="D105" s="55"/>
      <c r="E105" s="55"/>
      <c r="F105" s="55"/>
      <c r="G105" s="55"/>
      <c r="H105" s="55"/>
      <c r="I105" s="3"/>
      <c r="J105" s="62">
        <v>1175</v>
      </c>
      <c r="K105" s="62"/>
      <c r="L105" s="62"/>
      <c r="M105" s="62"/>
      <c r="N105" s="51"/>
      <c r="O105" s="51"/>
      <c r="P105" s="51"/>
      <c r="Q105" s="62">
        <v>1105</v>
      </c>
      <c r="R105" s="62"/>
      <c r="S105" s="62"/>
      <c r="T105" s="62"/>
      <c r="U105" s="62"/>
      <c r="V105" s="62"/>
      <c r="W105" s="51"/>
      <c r="X105" s="51"/>
      <c r="Y105" s="51"/>
      <c r="Z105" s="100">
        <v>880</v>
      </c>
      <c r="AA105" s="100"/>
      <c r="AB105" s="100"/>
      <c r="AC105" s="100"/>
    </row>
    <row r="106" spans="1:30" ht="23" customHeight="1" x14ac:dyDescent="0.15">
      <c r="A106" s="57" t="s">
        <v>98</v>
      </c>
      <c r="B106" s="57"/>
      <c r="C106" s="57"/>
      <c r="D106" s="57"/>
      <c r="E106" s="57"/>
      <c r="F106" s="57"/>
      <c r="G106" s="57"/>
      <c r="H106" s="57"/>
      <c r="I106" s="6"/>
      <c r="J106" s="101">
        <v>-2971</v>
      </c>
      <c r="K106" s="101"/>
      <c r="L106" s="101"/>
      <c r="M106" s="101"/>
      <c r="N106" s="60"/>
      <c r="O106" s="60"/>
      <c r="P106" s="60"/>
      <c r="Q106" s="101">
        <v>-2627</v>
      </c>
      <c r="R106" s="101"/>
      <c r="S106" s="101"/>
      <c r="T106" s="101"/>
      <c r="U106" s="101"/>
      <c r="V106" s="101"/>
      <c r="W106" s="60"/>
      <c r="X106" s="60"/>
      <c r="Y106" s="60"/>
      <c r="Z106" s="101">
        <v>-2250</v>
      </c>
      <c r="AA106" s="101"/>
      <c r="AB106" s="101"/>
      <c r="AC106" s="101"/>
    </row>
    <row r="107" spans="1:30" ht="14" customHeight="1" x14ac:dyDescent="0.15">
      <c r="A107" s="55" t="s">
        <v>99</v>
      </c>
      <c r="B107" s="55"/>
      <c r="C107" s="55"/>
      <c r="D107" s="55"/>
      <c r="E107" s="55"/>
      <c r="F107" s="55"/>
      <c r="G107" s="55"/>
      <c r="H107" s="55"/>
      <c r="I107" s="3"/>
      <c r="J107" s="58">
        <v>9280</v>
      </c>
      <c r="K107" s="58"/>
      <c r="L107" s="58"/>
      <c r="M107" s="58"/>
      <c r="N107" s="52"/>
      <c r="O107" s="52"/>
      <c r="P107" s="52"/>
      <c r="Q107" s="58">
        <v>8108</v>
      </c>
      <c r="R107" s="58"/>
      <c r="S107" s="58"/>
      <c r="T107" s="58"/>
      <c r="U107" s="58"/>
      <c r="V107" s="58"/>
      <c r="W107" s="52"/>
      <c r="X107" s="52"/>
      <c r="Y107" s="52"/>
      <c r="Z107" s="58">
        <v>6975</v>
      </c>
      <c r="AA107" s="58"/>
      <c r="AB107" s="58"/>
      <c r="AC107" s="58"/>
    </row>
    <row r="108" spans="1:30" ht="14" customHeight="1" x14ac:dyDescent="0.15">
      <c r="A108" s="60" t="s">
        <v>100</v>
      </c>
      <c r="B108" s="60"/>
      <c r="C108" s="60"/>
      <c r="D108" s="60"/>
      <c r="E108" s="60"/>
      <c r="F108" s="60"/>
      <c r="G108" s="60"/>
      <c r="H108" s="60"/>
      <c r="I108" s="6"/>
      <c r="J108" s="59">
        <v>64849</v>
      </c>
      <c r="K108" s="59"/>
      <c r="L108" s="59"/>
      <c r="M108" s="59"/>
      <c r="N108" s="68"/>
      <c r="O108" s="68"/>
      <c r="P108" s="68"/>
      <c r="Q108" s="59">
        <v>57365</v>
      </c>
      <c r="R108" s="59"/>
      <c r="S108" s="59"/>
      <c r="T108" s="59"/>
      <c r="U108" s="59"/>
      <c r="V108" s="59"/>
      <c r="W108" s="68"/>
      <c r="X108" s="68"/>
      <c r="Y108" s="68"/>
      <c r="Z108" s="59">
        <v>50779</v>
      </c>
      <c r="AA108" s="59"/>
      <c r="AB108" s="59"/>
      <c r="AC108" s="59"/>
    </row>
    <row r="109" spans="1:30" ht="42" customHeight="1" x14ac:dyDescent="0.15">
      <c r="A109" s="55" t="s">
        <v>96</v>
      </c>
      <c r="B109" s="55"/>
      <c r="C109" s="55"/>
      <c r="D109" s="55"/>
      <c r="E109" s="55"/>
      <c r="F109" s="55"/>
      <c r="G109" s="55"/>
      <c r="H109" s="55"/>
      <c r="I109" s="3"/>
      <c r="J109" s="62">
        <v>5562</v>
      </c>
      <c r="K109" s="62"/>
      <c r="L109" s="62"/>
      <c r="M109" s="62"/>
      <c r="N109" s="51"/>
      <c r="O109" s="51"/>
      <c r="P109" s="51"/>
      <c r="Q109" s="62">
        <v>14966</v>
      </c>
      <c r="R109" s="62"/>
      <c r="S109" s="62"/>
      <c r="T109" s="62"/>
      <c r="U109" s="62"/>
      <c r="V109" s="62"/>
      <c r="W109" s="51"/>
      <c r="X109" s="51"/>
      <c r="Y109" s="51"/>
      <c r="Z109" s="62">
        <v>45898</v>
      </c>
      <c r="AA109" s="62"/>
      <c r="AB109" s="62"/>
      <c r="AC109" s="62"/>
    </row>
    <row r="110" spans="1:30" ht="14" customHeight="1" x14ac:dyDescent="0.15">
      <c r="A110" s="57" t="s">
        <v>24</v>
      </c>
      <c r="B110" s="57"/>
      <c r="C110" s="57"/>
      <c r="D110" s="57"/>
      <c r="E110" s="57"/>
      <c r="F110" s="57"/>
      <c r="G110" s="57"/>
      <c r="H110" s="57"/>
      <c r="I110" s="6"/>
      <c r="J110" s="77">
        <v>99803</v>
      </c>
      <c r="K110" s="77"/>
      <c r="L110" s="77"/>
      <c r="M110" s="77"/>
      <c r="N110" s="60"/>
      <c r="O110" s="60"/>
      <c r="P110" s="60"/>
      <c r="Q110" s="77">
        <v>94680</v>
      </c>
      <c r="R110" s="77"/>
      <c r="S110" s="77"/>
      <c r="T110" s="77"/>
      <c r="U110" s="77"/>
      <c r="V110" s="77"/>
      <c r="W110" s="60"/>
      <c r="X110" s="60"/>
      <c r="Y110" s="60"/>
      <c r="Z110" s="77">
        <v>57411</v>
      </c>
      <c r="AA110" s="77"/>
      <c r="AB110" s="77"/>
      <c r="AC110" s="77"/>
    </row>
    <row r="111" spans="1:30" ht="14" customHeight="1" x14ac:dyDescent="0.15">
      <c r="A111" s="55" t="s">
        <v>101</v>
      </c>
      <c r="B111" s="55"/>
      <c r="C111" s="55"/>
      <c r="D111" s="55"/>
      <c r="E111" s="55"/>
      <c r="F111" s="55"/>
      <c r="G111" s="55"/>
      <c r="H111" s="55"/>
      <c r="I111" s="3"/>
      <c r="J111" s="79">
        <v>-14793</v>
      </c>
      <c r="K111" s="79"/>
      <c r="L111" s="79"/>
      <c r="M111" s="79"/>
      <c r="N111" s="51"/>
      <c r="O111" s="51"/>
      <c r="P111" s="51"/>
      <c r="Q111" s="79">
        <v>-14431</v>
      </c>
      <c r="R111" s="79"/>
      <c r="S111" s="79"/>
      <c r="T111" s="79"/>
      <c r="U111" s="79"/>
      <c r="V111" s="79"/>
      <c r="W111" s="51"/>
      <c r="X111" s="51"/>
      <c r="Y111" s="51"/>
      <c r="Z111" s="79">
        <v>-14087</v>
      </c>
      <c r="AA111" s="79"/>
      <c r="AB111" s="79"/>
      <c r="AC111" s="79"/>
    </row>
    <row r="112" spans="1:30" ht="23" customHeight="1" x14ac:dyDescent="0.15">
      <c r="A112" s="57" t="s">
        <v>98</v>
      </c>
      <c r="B112" s="57"/>
      <c r="C112" s="57"/>
      <c r="D112" s="57"/>
      <c r="E112" s="57"/>
      <c r="F112" s="57"/>
      <c r="G112" s="57"/>
      <c r="H112" s="57"/>
      <c r="I112" s="6"/>
      <c r="J112" s="101">
        <v>-3454</v>
      </c>
      <c r="K112" s="101"/>
      <c r="L112" s="101"/>
      <c r="M112" s="101"/>
      <c r="N112" s="60"/>
      <c r="O112" s="60"/>
      <c r="P112" s="60"/>
      <c r="Q112" s="101">
        <v>-4151</v>
      </c>
      <c r="R112" s="101"/>
      <c r="S112" s="101"/>
      <c r="T112" s="101"/>
      <c r="U112" s="101"/>
      <c r="V112" s="101"/>
      <c r="W112" s="60"/>
      <c r="X112" s="60"/>
      <c r="Y112" s="60"/>
      <c r="Z112" s="101">
        <v>-1604</v>
      </c>
      <c r="AA112" s="101"/>
      <c r="AB112" s="101"/>
      <c r="AC112" s="101"/>
    </row>
    <row r="113" spans="1:30" ht="14" customHeight="1" x14ac:dyDescent="0.15">
      <c r="A113" s="55" t="s">
        <v>102</v>
      </c>
      <c r="B113" s="55"/>
      <c r="C113" s="55"/>
      <c r="D113" s="55"/>
      <c r="E113" s="55"/>
      <c r="F113" s="55"/>
      <c r="G113" s="55"/>
      <c r="H113" s="55"/>
      <c r="I113" s="3"/>
      <c r="J113" s="79">
        <v>-90186</v>
      </c>
      <c r="K113" s="79"/>
      <c r="L113" s="79"/>
      <c r="M113" s="79"/>
      <c r="N113" s="51"/>
      <c r="O113" s="51"/>
      <c r="P113" s="51"/>
      <c r="Q113" s="79">
        <v>-85502</v>
      </c>
      <c r="R113" s="79"/>
      <c r="S113" s="79"/>
      <c r="T113" s="79"/>
      <c r="U113" s="79"/>
      <c r="V113" s="79"/>
      <c r="W113" s="51"/>
      <c r="X113" s="51"/>
      <c r="Y113" s="51"/>
      <c r="Z113" s="79">
        <v>-72516</v>
      </c>
      <c r="AA113" s="79"/>
      <c r="AB113" s="79"/>
      <c r="AC113" s="79"/>
    </row>
    <row r="114" spans="1:30" ht="14" customHeight="1" x14ac:dyDescent="0.15">
      <c r="A114" s="57" t="s">
        <v>103</v>
      </c>
      <c r="B114" s="57"/>
      <c r="C114" s="57"/>
      <c r="D114" s="57"/>
      <c r="E114" s="57"/>
      <c r="F114" s="57"/>
      <c r="G114" s="57"/>
      <c r="H114" s="57"/>
      <c r="I114" s="6"/>
      <c r="J114" s="102" t="s">
        <v>104</v>
      </c>
      <c r="K114" s="102"/>
      <c r="L114" s="102"/>
      <c r="M114" s="102"/>
      <c r="N114" s="67"/>
      <c r="O114" s="67"/>
      <c r="P114" s="67"/>
      <c r="Q114" s="102" t="s">
        <v>104</v>
      </c>
      <c r="R114" s="102"/>
      <c r="S114" s="102"/>
      <c r="T114" s="102"/>
      <c r="U114" s="102"/>
      <c r="V114" s="102"/>
      <c r="W114" s="67"/>
      <c r="X114" s="67"/>
      <c r="Y114" s="67"/>
      <c r="Z114" s="69">
        <v>-136</v>
      </c>
      <c r="AA114" s="69"/>
      <c r="AB114" s="69"/>
      <c r="AC114" s="69"/>
    </row>
    <row r="115" spans="1:30" ht="14" customHeight="1" x14ac:dyDescent="0.15">
      <c r="A115" s="51" t="s">
        <v>105</v>
      </c>
      <c r="B115" s="51"/>
      <c r="C115" s="51"/>
      <c r="D115" s="51"/>
      <c r="E115" s="51"/>
      <c r="F115" s="51"/>
      <c r="G115" s="51"/>
      <c r="H115" s="51"/>
      <c r="I115" s="3"/>
      <c r="J115" s="103">
        <v>-3068</v>
      </c>
      <c r="K115" s="103"/>
      <c r="L115" s="103"/>
      <c r="M115" s="103"/>
      <c r="N115" s="56"/>
      <c r="O115" s="56"/>
      <c r="P115" s="56"/>
      <c r="Q115" s="71">
        <v>5562</v>
      </c>
      <c r="R115" s="71"/>
      <c r="S115" s="71"/>
      <c r="T115" s="71"/>
      <c r="U115" s="71"/>
      <c r="V115" s="71"/>
      <c r="W115" s="56"/>
      <c r="X115" s="56"/>
      <c r="Y115" s="56"/>
      <c r="Z115" s="71">
        <v>14966</v>
      </c>
      <c r="AA115" s="71"/>
      <c r="AB115" s="71"/>
      <c r="AC115" s="71"/>
    </row>
    <row r="116" spans="1:30" ht="42" customHeight="1" x14ac:dyDescent="0.15">
      <c r="A116" s="57" t="s">
        <v>96</v>
      </c>
      <c r="B116" s="57"/>
      <c r="C116" s="57"/>
      <c r="D116" s="57"/>
      <c r="E116" s="57"/>
      <c r="F116" s="57"/>
      <c r="G116" s="57"/>
      <c r="H116" s="57"/>
      <c r="I116" s="6"/>
      <c r="J116" s="81">
        <v>163</v>
      </c>
      <c r="K116" s="81"/>
      <c r="L116" s="81"/>
      <c r="M116" s="81"/>
      <c r="N116" s="60"/>
      <c r="O116" s="60"/>
      <c r="P116" s="60"/>
      <c r="Q116" s="104">
        <v>-406</v>
      </c>
      <c r="R116" s="104"/>
      <c r="S116" s="104"/>
      <c r="T116" s="104"/>
      <c r="U116" s="104"/>
      <c r="V116" s="104"/>
      <c r="W116" s="60"/>
      <c r="X116" s="60"/>
      <c r="Y116" s="60"/>
      <c r="Z116" s="104">
        <v>-584</v>
      </c>
      <c r="AA116" s="104"/>
      <c r="AB116" s="104"/>
      <c r="AC116" s="104"/>
    </row>
    <row r="117" spans="1:30" ht="14" customHeight="1" x14ac:dyDescent="0.15">
      <c r="A117" s="55" t="s">
        <v>106</v>
      </c>
      <c r="B117" s="55"/>
      <c r="C117" s="55"/>
      <c r="D117" s="55"/>
      <c r="E117" s="55"/>
      <c r="F117" s="55"/>
      <c r="G117" s="55"/>
      <c r="H117" s="55"/>
      <c r="I117" s="3"/>
      <c r="J117" s="79">
        <v>-11272</v>
      </c>
      <c r="K117" s="79"/>
      <c r="L117" s="79"/>
      <c r="M117" s="79"/>
      <c r="N117" s="51"/>
      <c r="O117" s="51"/>
      <c r="P117" s="51"/>
      <c r="Q117" s="100">
        <v>569</v>
      </c>
      <c r="R117" s="100"/>
      <c r="S117" s="100"/>
      <c r="T117" s="100"/>
      <c r="U117" s="100"/>
      <c r="V117" s="100"/>
      <c r="W117" s="51"/>
      <c r="X117" s="51"/>
      <c r="Y117" s="51"/>
      <c r="Z117" s="80">
        <v>42</v>
      </c>
      <c r="AA117" s="80"/>
      <c r="AB117" s="80"/>
      <c r="AC117" s="80"/>
    </row>
    <row r="118" spans="1:30" ht="14" customHeight="1" x14ac:dyDescent="0.15">
      <c r="A118" s="57" t="s">
        <v>103</v>
      </c>
      <c r="B118" s="57"/>
      <c r="C118" s="57"/>
      <c r="D118" s="57"/>
      <c r="E118" s="57"/>
      <c r="F118" s="57"/>
      <c r="G118" s="57"/>
      <c r="H118" s="57"/>
      <c r="I118" s="6"/>
      <c r="J118" s="102" t="s">
        <v>104</v>
      </c>
      <c r="K118" s="102"/>
      <c r="L118" s="102"/>
      <c r="M118" s="102"/>
      <c r="N118" s="67"/>
      <c r="O118" s="67"/>
      <c r="P118" s="67"/>
      <c r="Q118" s="102" t="s">
        <v>104</v>
      </c>
      <c r="R118" s="102"/>
      <c r="S118" s="102"/>
      <c r="T118" s="102"/>
      <c r="U118" s="102"/>
      <c r="V118" s="102"/>
      <c r="W118" s="67"/>
      <c r="X118" s="67"/>
      <c r="Y118" s="67"/>
      <c r="Z118" s="70">
        <v>136</v>
      </c>
      <c r="AA118" s="70"/>
      <c r="AB118" s="70"/>
      <c r="AC118" s="70"/>
    </row>
    <row r="119" spans="1:30" ht="14" customHeight="1" x14ac:dyDescent="0.15">
      <c r="A119" s="57" t="s">
        <v>107</v>
      </c>
      <c r="B119" s="57"/>
      <c r="C119" s="57"/>
      <c r="D119" s="57"/>
      <c r="E119" s="57"/>
      <c r="F119" s="57"/>
      <c r="G119" s="57"/>
      <c r="H119" s="57"/>
      <c r="I119" s="6"/>
      <c r="J119" s="105">
        <v>-11109</v>
      </c>
      <c r="K119" s="105"/>
      <c r="L119" s="105"/>
      <c r="M119" s="105"/>
      <c r="N119" s="68"/>
      <c r="O119" s="68"/>
      <c r="P119" s="68"/>
      <c r="Q119" s="106">
        <v>163</v>
      </c>
      <c r="R119" s="106"/>
      <c r="S119" s="106"/>
      <c r="T119" s="106"/>
      <c r="U119" s="106"/>
      <c r="V119" s="106"/>
      <c r="W119" s="68"/>
      <c r="X119" s="68"/>
      <c r="Y119" s="68"/>
      <c r="Z119" s="107">
        <v>-406</v>
      </c>
      <c r="AA119" s="107"/>
      <c r="AB119" s="107"/>
      <c r="AC119" s="107"/>
    </row>
    <row r="120" spans="1:30" ht="33" customHeight="1" x14ac:dyDescent="0.15">
      <c r="A120" s="51" t="s">
        <v>108</v>
      </c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</row>
    <row r="121" spans="1:30" ht="12" customHeight="1" x14ac:dyDescent="0.15">
      <c r="A121" s="7" t="s">
        <v>109</v>
      </c>
    </row>
    <row r="122" spans="1:30" ht="12" customHeight="1" x14ac:dyDescent="0.15">
      <c r="A122" s="7" t="s">
        <v>110</v>
      </c>
    </row>
    <row r="123" spans="1:30" ht="12" customHeight="1" x14ac:dyDescent="0.15">
      <c r="A123" s="7" t="s">
        <v>111</v>
      </c>
    </row>
    <row r="124" spans="1:30" ht="14" customHeight="1" x14ac:dyDescent="0.1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</row>
    <row r="125" spans="1:30" ht="12" customHeight="1" x14ac:dyDescent="0.15">
      <c r="A125" s="7" t="s">
        <v>112</v>
      </c>
    </row>
    <row r="126" spans="1:30" ht="12" customHeight="1" x14ac:dyDescent="0.15">
      <c r="A126" s="7" t="s">
        <v>31</v>
      </c>
    </row>
    <row r="127" spans="1:30" ht="12" customHeight="1" x14ac:dyDescent="0.15">
      <c r="A127" s="1" t="s">
        <v>113</v>
      </c>
    </row>
    <row r="128" spans="1:30" ht="12" customHeight="1" x14ac:dyDescent="0.15">
      <c r="A128" s="2" t="s">
        <v>33</v>
      </c>
    </row>
    <row r="129" spans="1:30" ht="11" customHeight="1" x14ac:dyDescent="0.15">
      <c r="A129" s="8" t="s">
        <v>91</v>
      </c>
    </row>
    <row r="130" spans="1:30" ht="11" customHeight="1" x14ac:dyDescent="0.15">
      <c r="A130" s="9">
        <v>2022</v>
      </c>
    </row>
    <row r="131" spans="1:30" ht="11" customHeight="1" x14ac:dyDescent="0.15">
      <c r="A131" s="8" t="s">
        <v>2</v>
      </c>
    </row>
    <row r="132" spans="1:30" ht="11" customHeight="1" x14ac:dyDescent="0.15">
      <c r="A132" s="8" t="s">
        <v>92</v>
      </c>
    </row>
    <row r="133" spans="1:30" ht="11" customHeight="1" x14ac:dyDescent="0.15">
      <c r="A133" s="9">
        <v>2021</v>
      </c>
    </row>
    <row r="134" spans="1:30" ht="11" customHeight="1" x14ac:dyDescent="0.15">
      <c r="A134" s="8" t="s">
        <v>93</v>
      </c>
    </row>
    <row r="135" spans="1:30" ht="11" customHeight="1" x14ac:dyDescent="0.15">
      <c r="A135" s="9">
        <v>2020</v>
      </c>
    </row>
    <row r="136" spans="1:30" ht="12" customHeight="1" x14ac:dyDescent="0.15">
      <c r="A136" s="7" t="s">
        <v>114</v>
      </c>
    </row>
    <row r="137" spans="1:30" ht="18" customHeight="1" x14ac:dyDescent="0.15">
      <c r="A137" s="57" t="s">
        <v>115</v>
      </c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</row>
    <row r="138" spans="1:30" ht="13" customHeight="1" x14ac:dyDescent="0.15">
      <c r="A138" s="60" t="s">
        <v>116</v>
      </c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77">
        <v>99803</v>
      </c>
      <c r="M138" s="77"/>
      <c r="N138" s="77"/>
      <c r="O138" s="77"/>
      <c r="P138" s="60"/>
      <c r="Q138" s="60"/>
      <c r="R138" s="60"/>
      <c r="S138" s="60"/>
      <c r="T138" s="60"/>
      <c r="U138" s="77">
        <v>94680</v>
      </c>
      <c r="V138" s="77"/>
      <c r="W138" s="77"/>
      <c r="X138" s="77"/>
      <c r="Y138" s="77">
        <v>57411</v>
      </c>
      <c r="Z138" s="77"/>
      <c r="AA138" s="77"/>
      <c r="AB138" s="77"/>
      <c r="AC138" s="77"/>
      <c r="AD138" s="77"/>
    </row>
    <row r="139" spans="1:30" ht="28" customHeight="1" x14ac:dyDescent="0.1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2">
        <v>11104</v>
      </c>
      <c r="M139" s="62"/>
      <c r="N139" s="62"/>
      <c r="O139" s="62"/>
      <c r="P139" s="51"/>
      <c r="Q139" s="51"/>
      <c r="R139" s="51"/>
      <c r="S139" s="51"/>
      <c r="T139" s="51"/>
      <c r="U139" s="62">
        <v>11284</v>
      </c>
      <c r="V139" s="62"/>
      <c r="W139" s="62"/>
      <c r="X139" s="62"/>
      <c r="Y139" s="62">
        <v>11056</v>
      </c>
      <c r="Z139" s="62"/>
      <c r="AA139" s="62"/>
      <c r="AB139" s="62"/>
      <c r="AC139" s="62"/>
      <c r="AD139" s="62"/>
    </row>
    <row r="140" spans="1:30" ht="14" customHeight="1" x14ac:dyDescent="0.1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77">
        <v>9038</v>
      </c>
      <c r="M140" s="77"/>
      <c r="N140" s="77"/>
      <c r="O140" s="77"/>
      <c r="P140" s="60"/>
      <c r="Q140" s="60"/>
      <c r="R140" s="60"/>
      <c r="S140" s="60"/>
      <c r="T140" s="60"/>
      <c r="U140" s="77">
        <v>7906</v>
      </c>
      <c r="V140" s="77"/>
      <c r="W140" s="77"/>
      <c r="X140" s="77"/>
      <c r="Y140" s="77">
        <v>6829</v>
      </c>
      <c r="Z140" s="77"/>
      <c r="AA140" s="77"/>
      <c r="AB140" s="77"/>
      <c r="AC140" s="77"/>
      <c r="AD140" s="77"/>
    </row>
    <row r="141" spans="1:30" ht="14" customHeight="1" x14ac:dyDescent="0.1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100">
        <v>895</v>
      </c>
      <c r="M141" s="100"/>
      <c r="N141" s="100"/>
      <c r="O141" s="100"/>
      <c r="P141" s="51"/>
      <c r="Q141" s="51"/>
      <c r="R141" s="51"/>
      <c r="S141" s="51"/>
      <c r="T141" s="51"/>
      <c r="U141" s="79">
        <v>-4774</v>
      </c>
      <c r="V141" s="79"/>
      <c r="W141" s="79"/>
      <c r="X141" s="79"/>
      <c r="Y141" s="108">
        <v>-215</v>
      </c>
      <c r="Z141" s="108"/>
      <c r="AA141" s="108"/>
      <c r="AB141" s="108"/>
      <c r="AC141" s="108"/>
      <c r="AD141" s="108"/>
    </row>
    <row r="142" spans="1:30" ht="14" customHeight="1" x14ac:dyDescent="0.1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81">
        <v>111</v>
      </c>
      <c r="M142" s="81"/>
      <c r="N142" s="81"/>
      <c r="O142" s="81"/>
      <c r="P142" s="60"/>
      <c r="Q142" s="60"/>
      <c r="R142" s="60"/>
      <c r="S142" s="60"/>
      <c r="T142" s="60"/>
      <c r="U142" s="104">
        <v>-147</v>
      </c>
      <c r="V142" s="104"/>
      <c r="W142" s="104"/>
      <c r="X142" s="104"/>
      <c r="Y142" s="109">
        <v>-97</v>
      </c>
      <c r="Z142" s="109"/>
      <c r="AA142" s="109"/>
      <c r="AB142" s="109"/>
      <c r="AC142" s="109"/>
      <c r="AD142" s="109"/>
    </row>
    <row r="143" spans="1:30" ht="28" customHeight="1" x14ac:dyDescent="0.1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110">
        <v>-1823</v>
      </c>
      <c r="M143" s="110"/>
      <c r="N143" s="110"/>
      <c r="O143" s="110"/>
      <c r="P143" s="60"/>
      <c r="Q143" s="60"/>
      <c r="R143" s="60"/>
      <c r="S143" s="60"/>
      <c r="T143" s="60"/>
      <c r="U143" s="110">
        <v>-10125</v>
      </c>
      <c r="V143" s="110"/>
      <c r="W143" s="110"/>
      <c r="X143" s="110"/>
      <c r="Y143" s="77">
        <v>6917</v>
      </c>
      <c r="Z143" s="77"/>
      <c r="AA143" s="77"/>
      <c r="AB143" s="77"/>
      <c r="AC143" s="77"/>
      <c r="AD143" s="77"/>
    </row>
    <row r="144" spans="1:30" ht="14" customHeight="1" x14ac:dyDescent="0.1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2">
        <v>1484</v>
      </c>
      <c r="M144" s="62"/>
      <c r="N144" s="62"/>
      <c r="O144" s="62"/>
      <c r="P144" s="51"/>
      <c r="Q144" s="51"/>
      <c r="R144" s="51"/>
      <c r="S144" s="51"/>
      <c r="T144" s="51"/>
      <c r="U144" s="79">
        <v>-2642</v>
      </c>
      <c r="V144" s="79"/>
      <c r="W144" s="79"/>
      <c r="X144" s="79"/>
      <c r="Y144" s="108">
        <v>-127</v>
      </c>
      <c r="Z144" s="108"/>
      <c r="AA144" s="108"/>
      <c r="AB144" s="108"/>
      <c r="AC144" s="108"/>
      <c r="AD144" s="108"/>
    </row>
    <row r="145" spans="1:30" ht="14" customHeight="1" x14ac:dyDescent="0.1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110">
        <v>-7520</v>
      </c>
      <c r="M145" s="110"/>
      <c r="N145" s="110"/>
      <c r="O145" s="110"/>
      <c r="P145" s="60"/>
      <c r="Q145" s="60"/>
      <c r="R145" s="60"/>
      <c r="S145" s="60"/>
      <c r="T145" s="60"/>
      <c r="U145" s="110">
        <v>-3903</v>
      </c>
      <c r="V145" s="110"/>
      <c r="W145" s="110"/>
      <c r="X145" s="110"/>
      <c r="Y145" s="77">
        <v>1553</v>
      </c>
      <c r="Z145" s="77"/>
      <c r="AA145" s="77"/>
      <c r="AB145" s="77"/>
      <c r="AC145" s="77"/>
      <c r="AD145" s="77"/>
    </row>
    <row r="146" spans="1:30" ht="14" customHeight="1" x14ac:dyDescent="0.1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79">
        <v>-6499</v>
      </c>
      <c r="M146" s="79"/>
      <c r="N146" s="79"/>
      <c r="O146" s="79"/>
      <c r="P146" s="51"/>
      <c r="Q146" s="51"/>
      <c r="R146" s="51"/>
      <c r="S146" s="51"/>
      <c r="T146" s="51"/>
      <c r="U146" s="79">
        <v>-8042</v>
      </c>
      <c r="V146" s="79"/>
      <c r="W146" s="79"/>
      <c r="X146" s="79"/>
      <c r="Y146" s="79">
        <v>-9588</v>
      </c>
      <c r="Z146" s="79"/>
      <c r="AA146" s="79"/>
      <c r="AB146" s="79"/>
      <c r="AC146" s="79"/>
      <c r="AD146" s="79"/>
    </row>
    <row r="147" spans="1:30" ht="14" customHeight="1" x14ac:dyDescent="0.1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77">
        <v>9448</v>
      </c>
      <c r="M147" s="77"/>
      <c r="N147" s="77"/>
      <c r="O147" s="77"/>
      <c r="P147" s="60"/>
      <c r="Q147" s="60"/>
      <c r="R147" s="60"/>
      <c r="S147" s="60"/>
      <c r="T147" s="60"/>
      <c r="U147" s="77">
        <v>12326</v>
      </c>
      <c r="V147" s="77"/>
      <c r="W147" s="77"/>
      <c r="X147" s="77"/>
      <c r="Y147" s="110">
        <v>-4062</v>
      </c>
      <c r="Z147" s="110"/>
      <c r="AA147" s="110"/>
      <c r="AB147" s="110"/>
      <c r="AC147" s="110"/>
      <c r="AD147" s="110"/>
    </row>
    <row r="148" spans="1:30" ht="14" customHeight="1" x14ac:dyDescent="0.1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100">
        <v>478</v>
      </c>
      <c r="M148" s="100"/>
      <c r="N148" s="100"/>
      <c r="O148" s="100"/>
      <c r="P148" s="51"/>
      <c r="Q148" s="51"/>
      <c r="R148" s="51"/>
      <c r="S148" s="51"/>
      <c r="T148" s="51"/>
      <c r="U148" s="62">
        <v>1676</v>
      </c>
      <c r="V148" s="62"/>
      <c r="W148" s="62"/>
      <c r="X148" s="62"/>
      <c r="Y148" s="62">
        <v>2081</v>
      </c>
      <c r="Z148" s="62"/>
      <c r="AA148" s="62"/>
      <c r="AB148" s="62"/>
      <c r="AC148" s="62"/>
      <c r="AD148" s="62"/>
    </row>
    <row r="149" spans="1:30" ht="14" customHeight="1" x14ac:dyDescent="0.1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4">
        <v>5632</v>
      </c>
      <c r="M149" s="64"/>
      <c r="N149" s="64"/>
      <c r="O149" s="64"/>
      <c r="P149" s="67"/>
      <c r="Q149" s="67"/>
      <c r="R149" s="67"/>
      <c r="S149" s="67"/>
      <c r="T149" s="67"/>
      <c r="U149" s="64">
        <v>5799</v>
      </c>
      <c r="V149" s="64"/>
      <c r="W149" s="64"/>
      <c r="X149" s="64"/>
      <c r="Y149" s="64">
        <v>8916</v>
      </c>
      <c r="Z149" s="64"/>
      <c r="AA149" s="64"/>
      <c r="AB149" s="64"/>
      <c r="AC149" s="64"/>
      <c r="AD149" s="64"/>
    </row>
    <row r="150" spans="1:30" ht="14" customHeight="1" x14ac:dyDescent="0.1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59">
        <v>122151</v>
      </c>
      <c r="M150" s="59"/>
      <c r="N150" s="59"/>
      <c r="O150" s="59"/>
      <c r="P150" s="68"/>
      <c r="Q150" s="68"/>
      <c r="R150" s="68"/>
      <c r="S150" s="68"/>
      <c r="T150" s="68"/>
      <c r="U150" s="59">
        <v>104038</v>
      </c>
      <c r="V150" s="59"/>
      <c r="W150" s="59"/>
      <c r="X150" s="59"/>
      <c r="Y150" s="59">
        <v>80674</v>
      </c>
      <c r="Z150" s="59"/>
      <c r="AA150" s="59"/>
      <c r="AB150" s="59"/>
      <c r="AC150" s="59"/>
      <c r="AD150" s="59"/>
    </row>
    <row r="151" spans="1:30" ht="32" customHeight="1" x14ac:dyDescent="0.1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79">
        <v>-76923</v>
      </c>
      <c r="M151" s="79"/>
      <c r="N151" s="79"/>
      <c r="O151" s="79"/>
      <c r="P151" s="51"/>
      <c r="Q151" s="51"/>
      <c r="R151" s="51"/>
      <c r="S151" s="51"/>
      <c r="T151" s="51"/>
      <c r="U151" s="79">
        <v>-109558</v>
      </c>
      <c r="V151" s="79"/>
      <c r="W151" s="79"/>
      <c r="X151" s="79"/>
      <c r="Y151" s="79">
        <v>-114938</v>
      </c>
      <c r="Z151" s="79"/>
      <c r="AA151" s="79"/>
      <c r="AB151" s="79"/>
      <c r="AC151" s="79"/>
      <c r="AD151" s="79"/>
    </row>
    <row r="152" spans="1:30" ht="14" customHeight="1" x14ac:dyDescent="0.1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77">
        <v>29917</v>
      </c>
      <c r="M152" s="77"/>
      <c r="N152" s="77"/>
      <c r="O152" s="77"/>
      <c r="P152" s="60"/>
      <c r="Q152" s="60"/>
      <c r="R152" s="60"/>
      <c r="S152" s="60"/>
      <c r="T152" s="60"/>
      <c r="U152" s="77">
        <v>59023</v>
      </c>
      <c r="V152" s="77"/>
      <c r="W152" s="77"/>
      <c r="X152" s="77"/>
      <c r="Y152" s="77">
        <v>69918</v>
      </c>
      <c r="Z152" s="77"/>
      <c r="AA152" s="77"/>
      <c r="AB152" s="77"/>
      <c r="AC152" s="77"/>
      <c r="AD152" s="77"/>
    </row>
    <row r="153" spans="1:30" ht="14" customHeight="1" x14ac:dyDescent="0.1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2">
        <v>37446</v>
      </c>
      <c r="M153" s="62"/>
      <c r="N153" s="62"/>
      <c r="O153" s="62"/>
      <c r="P153" s="51"/>
      <c r="Q153" s="51"/>
      <c r="R153" s="51"/>
      <c r="S153" s="51"/>
      <c r="T153" s="51"/>
      <c r="U153" s="62">
        <v>47460</v>
      </c>
      <c r="V153" s="62"/>
      <c r="W153" s="62"/>
      <c r="X153" s="62"/>
      <c r="Y153" s="62">
        <v>50473</v>
      </c>
      <c r="Z153" s="62"/>
      <c r="AA153" s="62"/>
      <c r="AB153" s="62"/>
      <c r="AC153" s="62"/>
      <c r="AD153" s="62"/>
    </row>
    <row r="154" spans="1:30" ht="14" customHeight="1" x14ac:dyDescent="0.1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110">
        <v>-10708</v>
      </c>
      <c r="M154" s="110"/>
      <c r="N154" s="110"/>
      <c r="O154" s="110"/>
      <c r="P154" s="60"/>
      <c r="Q154" s="60"/>
      <c r="R154" s="60"/>
      <c r="S154" s="60"/>
      <c r="T154" s="60"/>
      <c r="U154" s="110">
        <v>-11085</v>
      </c>
      <c r="V154" s="110"/>
      <c r="W154" s="110"/>
      <c r="X154" s="110"/>
      <c r="Y154" s="110">
        <v>-7309</v>
      </c>
      <c r="Z154" s="110"/>
      <c r="AA154" s="110"/>
      <c r="AB154" s="110"/>
      <c r="AC154" s="110"/>
      <c r="AD154" s="110"/>
    </row>
    <row r="155" spans="1:30" ht="14" customHeight="1" x14ac:dyDescent="0.1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85">
        <v>-306</v>
      </c>
      <c r="M155" s="85"/>
      <c r="N155" s="85"/>
      <c r="O155" s="85"/>
      <c r="P155" s="51"/>
      <c r="Q155" s="51"/>
      <c r="R155" s="51"/>
      <c r="S155" s="51"/>
      <c r="T155" s="51"/>
      <c r="U155" s="85">
        <v>-33</v>
      </c>
      <c r="V155" s="85"/>
      <c r="W155" s="85"/>
      <c r="X155" s="85"/>
      <c r="Y155" s="79">
        <v>-1524</v>
      </c>
      <c r="Z155" s="79"/>
      <c r="AA155" s="79"/>
      <c r="AB155" s="79"/>
      <c r="AC155" s="79"/>
      <c r="AD155" s="79"/>
    </row>
    <row r="156" spans="1:30" ht="14" customHeight="1" x14ac:dyDescent="0.1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97">
        <v>-1780</v>
      </c>
      <c r="M156" s="97"/>
      <c r="N156" s="97"/>
      <c r="O156" s="97"/>
      <c r="P156" s="67"/>
      <c r="Q156" s="67"/>
      <c r="R156" s="67"/>
      <c r="S156" s="67"/>
      <c r="T156" s="67"/>
      <c r="U156" s="69">
        <v>-352</v>
      </c>
      <c r="V156" s="69"/>
      <c r="W156" s="69"/>
      <c r="X156" s="69"/>
      <c r="Y156" s="111">
        <v>-909</v>
      </c>
      <c r="Z156" s="111"/>
      <c r="AA156" s="111"/>
      <c r="AB156" s="111"/>
      <c r="AC156" s="111"/>
      <c r="AD156" s="111"/>
    </row>
    <row r="157" spans="1:30" ht="14" customHeight="1" x14ac:dyDescent="0.1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105">
        <v>-22354</v>
      </c>
      <c r="M157" s="105"/>
      <c r="N157" s="105"/>
      <c r="O157" s="105"/>
      <c r="P157" s="68"/>
      <c r="Q157" s="68"/>
      <c r="R157" s="68"/>
      <c r="S157" s="68"/>
      <c r="T157" s="68"/>
      <c r="U157" s="105">
        <v>-14545</v>
      </c>
      <c r="V157" s="105"/>
      <c r="W157" s="105"/>
      <c r="X157" s="105"/>
      <c r="Y157" s="105">
        <v>-4289</v>
      </c>
      <c r="Z157" s="105"/>
      <c r="AA157" s="105"/>
      <c r="AB157" s="105"/>
      <c r="AC157" s="105"/>
      <c r="AD157" s="105"/>
    </row>
    <row r="158" spans="1:30" ht="32" customHeight="1" x14ac:dyDescent="0.1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79">
        <v>-6223</v>
      </c>
      <c r="M158" s="79"/>
      <c r="N158" s="79"/>
      <c r="O158" s="79"/>
      <c r="P158" s="51"/>
      <c r="Q158" s="51"/>
      <c r="R158" s="51"/>
      <c r="S158" s="51"/>
      <c r="T158" s="51"/>
      <c r="U158" s="79">
        <v>-6556</v>
      </c>
      <c r="V158" s="79"/>
      <c r="W158" s="79"/>
      <c r="X158" s="79"/>
      <c r="Y158" s="79">
        <v>-3634</v>
      </c>
      <c r="Z158" s="79"/>
      <c r="AA158" s="79"/>
      <c r="AB158" s="79"/>
      <c r="AC158" s="79"/>
      <c r="AD158" s="79"/>
    </row>
    <row r="159" spans="1:30" ht="14" customHeight="1" x14ac:dyDescent="0.1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110">
        <v>-14841</v>
      </c>
      <c r="M159" s="110"/>
      <c r="N159" s="110"/>
      <c r="O159" s="110"/>
      <c r="P159" s="60"/>
      <c r="Q159" s="60"/>
      <c r="R159" s="60"/>
      <c r="S159" s="60"/>
      <c r="T159" s="60"/>
      <c r="U159" s="110">
        <v>-14467</v>
      </c>
      <c r="V159" s="110"/>
      <c r="W159" s="110"/>
      <c r="X159" s="110"/>
      <c r="Y159" s="110">
        <v>-14081</v>
      </c>
      <c r="Z159" s="110"/>
      <c r="AA159" s="110"/>
      <c r="AB159" s="110"/>
      <c r="AC159" s="110"/>
      <c r="AD159" s="110"/>
    </row>
    <row r="160" spans="1:30" ht="14" customHeight="1" x14ac:dyDescent="0.1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79">
        <v>-89402</v>
      </c>
      <c r="M160" s="79"/>
      <c r="N160" s="79"/>
      <c r="O160" s="79"/>
      <c r="P160" s="51"/>
      <c r="Q160" s="51"/>
      <c r="R160" s="51"/>
      <c r="S160" s="51"/>
      <c r="T160" s="51"/>
      <c r="U160" s="79">
        <v>-85971</v>
      </c>
      <c r="V160" s="79"/>
      <c r="W160" s="79"/>
      <c r="X160" s="79"/>
      <c r="Y160" s="79">
        <v>-72358</v>
      </c>
      <c r="Z160" s="79"/>
      <c r="AA160" s="79"/>
      <c r="AB160" s="79"/>
      <c r="AC160" s="79"/>
      <c r="AD160" s="79"/>
    </row>
    <row r="161" spans="1:30" ht="14" customHeight="1" x14ac:dyDescent="0.1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77">
        <v>5465</v>
      </c>
      <c r="M161" s="77"/>
      <c r="N161" s="77"/>
      <c r="O161" s="77"/>
      <c r="P161" s="60"/>
      <c r="Q161" s="60"/>
      <c r="R161" s="60"/>
      <c r="S161" s="60"/>
      <c r="T161" s="60"/>
      <c r="U161" s="77">
        <v>20393</v>
      </c>
      <c r="V161" s="77"/>
      <c r="W161" s="77"/>
      <c r="X161" s="77"/>
      <c r="Y161" s="77">
        <v>16091</v>
      </c>
      <c r="Z161" s="77"/>
      <c r="AA161" s="77"/>
      <c r="AB161" s="77"/>
      <c r="AC161" s="77"/>
      <c r="AD161" s="77"/>
    </row>
    <row r="162" spans="1:30" ht="14" customHeight="1" x14ac:dyDescent="0.1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79">
        <v>-9543</v>
      </c>
      <c r="M162" s="79"/>
      <c r="N162" s="79"/>
      <c r="O162" s="79"/>
      <c r="P162" s="51"/>
      <c r="Q162" s="51"/>
      <c r="R162" s="51"/>
      <c r="S162" s="51"/>
      <c r="T162" s="51"/>
      <c r="U162" s="79">
        <v>-8750</v>
      </c>
      <c r="V162" s="79"/>
      <c r="W162" s="79"/>
      <c r="X162" s="79"/>
      <c r="Y162" s="79">
        <v>-12629</v>
      </c>
      <c r="Z162" s="79"/>
      <c r="AA162" s="79"/>
      <c r="AB162" s="79"/>
      <c r="AC162" s="79"/>
      <c r="AD162" s="79"/>
    </row>
    <row r="163" spans="1:30" ht="14" customHeight="1" x14ac:dyDescent="0.1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77">
        <v>3955</v>
      </c>
      <c r="M163" s="77"/>
      <c r="N163" s="77"/>
      <c r="O163" s="77"/>
      <c r="P163" s="60"/>
      <c r="Q163" s="60"/>
      <c r="R163" s="60"/>
      <c r="S163" s="60"/>
      <c r="T163" s="60"/>
      <c r="U163" s="77">
        <v>1022</v>
      </c>
      <c r="V163" s="77"/>
      <c r="W163" s="77"/>
      <c r="X163" s="77"/>
      <c r="Y163" s="109">
        <v>-963</v>
      </c>
      <c r="Z163" s="109"/>
      <c r="AA163" s="109"/>
      <c r="AB163" s="109"/>
      <c r="AC163" s="109"/>
      <c r="AD163" s="109"/>
    </row>
    <row r="164" spans="1:30" ht="14" customHeight="1" x14ac:dyDescent="0.1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112">
        <v>-160</v>
      </c>
      <c r="M164" s="112"/>
      <c r="N164" s="112"/>
      <c r="O164" s="112"/>
      <c r="P164" s="52"/>
      <c r="Q164" s="52"/>
      <c r="R164" s="52"/>
      <c r="S164" s="52"/>
      <c r="T164" s="52"/>
      <c r="U164" s="90">
        <v>976</v>
      </c>
      <c r="V164" s="90"/>
      <c r="W164" s="90"/>
      <c r="X164" s="90"/>
      <c r="Y164" s="91">
        <v>754</v>
      </c>
      <c r="Z164" s="91"/>
      <c r="AA164" s="91"/>
      <c r="AB164" s="91"/>
      <c r="AC164" s="91"/>
      <c r="AD164" s="91"/>
    </row>
    <row r="165" spans="1:30" ht="14" customHeight="1" x14ac:dyDescent="0.1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113">
        <v>-110749</v>
      </c>
      <c r="M165" s="113"/>
      <c r="N165" s="113"/>
      <c r="O165" s="113"/>
      <c r="P165" s="114"/>
      <c r="Q165" s="114"/>
      <c r="R165" s="114"/>
      <c r="S165" s="114"/>
      <c r="T165" s="114"/>
      <c r="U165" s="113">
        <v>-93353</v>
      </c>
      <c r="V165" s="113"/>
      <c r="W165" s="113"/>
      <c r="X165" s="113"/>
      <c r="Y165" s="113">
        <v>-86820</v>
      </c>
      <c r="Z165" s="113"/>
      <c r="AA165" s="113"/>
      <c r="AB165" s="113"/>
      <c r="AC165" s="113"/>
      <c r="AD165" s="113"/>
    </row>
    <row r="166" spans="1:30" ht="18" customHeight="1" x14ac:dyDescent="0.1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115">
        <v>-10952</v>
      </c>
      <c r="M166" s="115"/>
      <c r="N166" s="115"/>
      <c r="O166" s="115"/>
      <c r="P166" s="99"/>
      <c r="Q166" s="99"/>
      <c r="R166" s="99"/>
      <c r="S166" s="99"/>
      <c r="T166" s="99"/>
      <c r="U166" s="115">
        <v>-3860</v>
      </c>
      <c r="V166" s="115"/>
      <c r="W166" s="115"/>
      <c r="X166" s="115"/>
      <c r="Y166" s="115">
        <v>-10435</v>
      </c>
      <c r="Z166" s="115"/>
      <c r="AA166" s="115"/>
      <c r="AB166" s="115"/>
      <c r="AC166" s="115"/>
      <c r="AD166" s="115"/>
    </row>
    <row r="167" spans="1:30" ht="14" customHeight="1" x14ac:dyDescent="0.15">
      <c r="A167" s="60" t="s">
        <v>117</v>
      </c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6">
        <v>24977</v>
      </c>
      <c r="M167" s="66"/>
      <c r="N167" s="66"/>
      <c r="O167" s="66"/>
      <c r="P167" s="92" t="s">
        <v>25</v>
      </c>
      <c r="Q167" s="92"/>
      <c r="R167" s="92"/>
      <c r="S167" s="92"/>
      <c r="T167" s="92"/>
      <c r="U167" s="66">
        <v>35929</v>
      </c>
      <c r="V167" s="66"/>
      <c r="W167" s="66"/>
      <c r="X167" s="66"/>
      <c r="Y167" s="92" t="s">
        <v>118</v>
      </c>
      <c r="Z167" s="92"/>
      <c r="AA167" s="92"/>
      <c r="AB167" s="92"/>
      <c r="AC167" s="92"/>
      <c r="AD167" s="92"/>
    </row>
    <row r="168" spans="1:30" ht="20" customHeight="1" x14ac:dyDescent="0.15">
      <c r="A168" s="116" t="s">
        <v>119</v>
      </c>
      <c r="B168" s="116"/>
      <c r="C168" s="116"/>
      <c r="D168" s="116"/>
      <c r="E168" s="116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</row>
    <row r="169" spans="1:30" ht="14" customHeight="1" x14ac:dyDescent="0.15">
      <c r="A169" s="57" t="s">
        <v>120</v>
      </c>
      <c r="B169" s="57"/>
      <c r="C169" s="57"/>
      <c r="D169" s="57"/>
      <c r="E169" s="57"/>
      <c r="F169" s="57" t="s">
        <v>121</v>
      </c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77">
        <v>25385</v>
      </c>
      <c r="V169" s="77"/>
      <c r="W169" s="77"/>
      <c r="X169" s="77"/>
      <c r="Y169" s="57" t="s">
        <v>122</v>
      </c>
      <c r="Z169" s="57"/>
      <c r="AA169" s="57"/>
      <c r="AB169" s="57"/>
      <c r="AC169" s="57"/>
      <c r="AD169" s="57"/>
    </row>
    <row r="170" spans="1:30" ht="17" customHeight="1" x14ac:dyDescent="0.15">
      <c r="A170" s="55" t="s">
        <v>123</v>
      </c>
      <c r="B170" s="55"/>
      <c r="C170" s="55"/>
      <c r="D170" s="55"/>
      <c r="E170" s="55"/>
      <c r="F170" s="55" t="s">
        <v>124</v>
      </c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62">
        <v>2687</v>
      </c>
      <c r="V170" s="62"/>
      <c r="W170" s="62"/>
      <c r="X170" s="62"/>
      <c r="Y170" s="55" t="s">
        <v>125</v>
      </c>
      <c r="Z170" s="55"/>
      <c r="AA170" s="55"/>
      <c r="AB170" s="55"/>
      <c r="AC170" s="55"/>
      <c r="AD170" s="55"/>
    </row>
    <row r="171" spans="1:30" ht="12" customHeight="1" x14ac:dyDescent="0.15">
      <c r="A171" s="7" t="s">
        <v>31</v>
      </c>
    </row>
  </sheetData>
  <mergeCells count="529">
    <mergeCell ref="A169:E169"/>
    <mergeCell ref="F169:T169"/>
    <mergeCell ref="U169:X169"/>
    <mergeCell ref="Y169:AD169"/>
    <mergeCell ref="A170:E170"/>
    <mergeCell ref="F170:T170"/>
    <mergeCell ref="U170:X170"/>
    <mergeCell ref="Y170:AD170"/>
    <mergeCell ref="A167:K167"/>
    <mergeCell ref="L167:O167"/>
    <mergeCell ref="P167:T167"/>
    <mergeCell ref="U167:X167"/>
    <mergeCell ref="Y167:AD167"/>
    <mergeCell ref="A168:E168"/>
    <mergeCell ref="F168:T168"/>
    <mergeCell ref="U168:X168"/>
    <mergeCell ref="Y168:AD168"/>
    <mergeCell ref="L164:O164"/>
    <mergeCell ref="P164:T164"/>
    <mergeCell ref="U164:X164"/>
    <mergeCell ref="Y164:AD164"/>
    <mergeCell ref="L165:O165"/>
    <mergeCell ref="P165:T165"/>
    <mergeCell ref="U165:X165"/>
    <mergeCell ref="Y165:AD165"/>
    <mergeCell ref="L166:O166"/>
    <mergeCell ref="P166:T166"/>
    <mergeCell ref="U166:X166"/>
    <mergeCell ref="Y166:AD166"/>
    <mergeCell ref="L161:O161"/>
    <mergeCell ref="P161:T161"/>
    <mergeCell ref="U161:X161"/>
    <mergeCell ref="Y161:AD161"/>
    <mergeCell ref="L162:O162"/>
    <mergeCell ref="P162:T162"/>
    <mergeCell ref="U162:X162"/>
    <mergeCell ref="Y162:AD162"/>
    <mergeCell ref="L163:O163"/>
    <mergeCell ref="P163:T163"/>
    <mergeCell ref="U163:X163"/>
    <mergeCell ref="Y163:AD163"/>
    <mergeCell ref="L158:O158"/>
    <mergeCell ref="P158:T158"/>
    <mergeCell ref="U158:X158"/>
    <mergeCell ref="Y158:AD158"/>
    <mergeCell ref="L159:O159"/>
    <mergeCell ref="P159:T159"/>
    <mergeCell ref="U159:X159"/>
    <mergeCell ref="Y159:AD159"/>
    <mergeCell ref="L160:O160"/>
    <mergeCell ref="P160:T160"/>
    <mergeCell ref="U160:X160"/>
    <mergeCell ref="Y160:AD160"/>
    <mergeCell ref="L155:O155"/>
    <mergeCell ref="P155:T155"/>
    <mergeCell ref="U155:X155"/>
    <mergeCell ref="Y155:AD155"/>
    <mergeCell ref="L156:O156"/>
    <mergeCell ref="P156:T156"/>
    <mergeCell ref="U156:X156"/>
    <mergeCell ref="Y156:AD156"/>
    <mergeCell ref="L157:O157"/>
    <mergeCell ref="P157:T157"/>
    <mergeCell ref="U157:X157"/>
    <mergeCell ref="Y157:AD157"/>
    <mergeCell ref="L152:O152"/>
    <mergeCell ref="P152:T152"/>
    <mergeCell ref="U152:X152"/>
    <mergeCell ref="Y152:AD152"/>
    <mergeCell ref="L153:O153"/>
    <mergeCell ref="P153:T153"/>
    <mergeCell ref="U153:X153"/>
    <mergeCell ref="Y153:AD153"/>
    <mergeCell ref="L154:O154"/>
    <mergeCell ref="P154:T154"/>
    <mergeCell ref="U154:X154"/>
    <mergeCell ref="Y154:AD154"/>
    <mergeCell ref="L149:O149"/>
    <mergeCell ref="P149:T149"/>
    <mergeCell ref="U149:X149"/>
    <mergeCell ref="Y149:AD149"/>
    <mergeCell ref="L150:O150"/>
    <mergeCell ref="P150:T150"/>
    <mergeCell ref="U150:X150"/>
    <mergeCell ref="Y150:AD150"/>
    <mergeCell ref="L151:O151"/>
    <mergeCell ref="P151:T151"/>
    <mergeCell ref="U151:X151"/>
    <mergeCell ref="Y151:AD151"/>
    <mergeCell ref="L146:O146"/>
    <mergeCell ref="P146:T146"/>
    <mergeCell ref="U146:X146"/>
    <mergeCell ref="Y146:AD146"/>
    <mergeCell ref="L147:O147"/>
    <mergeCell ref="P147:T147"/>
    <mergeCell ref="U147:X147"/>
    <mergeCell ref="Y147:AD147"/>
    <mergeCell ref="L148:O148"/>
    <mergeCell ref="P148:T148"/>
    <mergeCell ref="U148:X148"/>
    <mergeCell ref="Y148:AD148"/>
    <mergeCell ref="L143:O143"/>
    <mergeCell ref="P143:T143"/>
    <mergeCell ref="U143:X143"/>
    <mergeCell ref="Y143:AD143"/>
    <mergeCell ref="L144:O144"/>
    <mergeCell ref="P144:T144"/>
    <mergeCell ref="U144:X144"/>
    <mergeCell ref="Y144:AD144"/>
    <mergeCell ref="L145:O145"/>
    <mergeCell ref="P145:T145"/>
    <mergeCell ref="U145:X145"/>
    <mergeCell ref="Y145:AD145"/>
    <mergeCell ref="A120:AC120"/>
    <mergeCell ref="A124:AD124"/>
    <mergeCell ref="A137:AD137"/>
    <mergeCell ref="A138:K166"/>
    <mergeCell ref="L138:O138"/>
    <mergeCell ref="P138:T138"/>
    <mergeCell ref="U138:X138"/>
    <mergeCell ref="Y138:AD138"/>
    <mergeCell ref="L139:O139"/>
    <mergeCell ref="P139:T139"/>
    <mergeCell ref="U139:X139"/>
    <mergeCell ref="Y139:AD139"/>
    <mergeCell ref="L140:O140"/>
    <mergeCell ref="P140:T140"/>
    <mergeCell ref="U140:X140"/>
    <mergeCell ref="Y140:AD140"/>
    <mergeCell ref="L141:O141"/>
    <mergeCell ref="P141:T141"/>
    <mergeCell ref="U141:X141"/>
    <mergeCell ref="Y141:AD141"/>
    <mergeCell ref="L142:O142"/>
    <mergeCell ref="P142:T142"/>
    <mergeCell ref="U142:X142"/>
    <mergeCell ref="Y142:AD142"/>
    <mergeCell ref="A118:H118"/>
    <mergeCell ref="J118:M118"/>
    <mergeCell ref="N118:P118"/>
    <mergeCell ref="Q118:V118"/>
    <mergeCell ref="W118:Y118"/>
    <mergeCell ref="Z118:AC118"/>
    <mergeCell ref="A119:H119"/>
    <mergeCell ref="J119:M119"/>
    <mergeCell ref="N119:P119"/>
    <mergeCell ref="Q119:V119"/>
    <mergeCell ref="W119:Y119"/>
    <mergeCell ref="Z119:AC119"/>
    <mergeCell ref="A116:H116"/>
    <mergeCell ref="J116:M116"/>
    <mergeCell ref="N116:P116"/>
    <mergeCell ref="Q116:V116"/>
    <mergeCell ref="W116:Y116"/>
    <mergeCell ref="Z116:AC116"/>
    <mergeCell ref="A117:H117"/>
    <mergeCell ref="J117:M117"/>
    <mergeCell ref="N117:P117"/>
    <mergeCell ref="Q117:V117"/>
    <mergeCell ref="W117:Y117"/>
    <mergeCell ref="Z117:AC117"/>
    <mergeCell ref="A114:H114"/>
    <mergeCell ref="J114:M114"/>
    <mergeCell ref="N114:P114"/>
    <mergeCell ref="Q114:V114"/>
    <mergeCell ref="W114:Y114"/>
    <mergeCell ref="Z114:AC114"/>
    <mergeCell ref="A115:H115"/>
    <mergeCell ref="J115:M115"/>
    <mergeCell ref="N115:P115"/>
    <mergeCell ref="Q115:V115"/>
    <mergeCell ref="W115:Y115"/>
    <mergeCell ref="Z115:AC115"/>
    <mergeCell ref="A112:H112"/>
    <mergeCell ref="J112:M112"/>
    <mergeCell ref="N112:P112"/>
    <mergeCell ref="Q112:V112"/>
    <mergeCell ref="W112:Y112"/>
    <mergeCell ref="Z112:AC112"/>
    <mergeCell ref="A113:H113"/>
    <mergeCell ref="J113:M113"/>
    <mergeCell ref="N113:P113"/>
    <mergeCell ref="Q113:V113"/>
    <mergeCell ref="W113:Y113"/>
    <mergeCell ref="Z113:AC113"/>
    <mergeCell ref="A110:H110"/>
    <mergeCell ref="J110:M110"/>
    <mergeCell ref="N110:P110"/>
    <mergeCell ref="Q110:V110"/>
    <mergeCell ref="W110:Y110"/>
    <mergeCell ref="Z110:AC110"/>
    <mergeCell ref="A111:H111"/>
    <mergeCell ref="J111:M111"/>
    <mergeCell ref="N111:P111"/>
    <mergeCell ref="Q111:V111"/>
    <mergeCell ref="W111:Y111"/>
    <mergeCell ref="Z111:AC111"/>
    <mergeCell ref="A108:H108"/>
    <mergeCell ref="J108:M108"/>
    <mergeCell ref="N108:P108"/>
    <mergeCell ref="Q108:V108"/>
    <mergeCell ref="W108:Y108"/>
    <mergeCell ref="Z108:AC108"/>
    <mergeCell ref="A109:H109"/>
    <mergeCell ref="J109:M109"/>
    <mergeCell ref="N109:P109"/>
    <mergeCell ref="Q109:V109"/>
    <mergeCell ref="W109:Y109"/>
    <mergeCell ref="Z109:AC109"/>
    <mergeCell ref="A106:H106"/>
    <mergeCell ref="J106:M106"/>
    <mergeCell ref="N106:P106"/>
    <mergeCell ref="Q106:V106"/>
    <mergeCell ref="W106:Y106"/>
    <mergeCell ref="Z106:AC106"/>
    <mergeCell ref="A107:H107"/>
    <mergeCell ref="J107:M107"/>
    <mergeCell ref="N107:P107"/>
    <mergeCell ref="Q107:V107"/>
    <mergeCell ref="W107:Y107"/>
    <mergeCell ref="Z107:AC107"/>
    <mergeCell ref="A103:AD103"/>
    <mergeCell ref="A104:H104"/>
    <mergeCell ref="J104:M104"/>
    <mergeCell ref="N104:P104"/>
    <mergeCell ref="Q104:V104"/>
    <mergeCell ref="W104:Y104"/>
    <mergeCell ref="Z104:AC104"/>
    <mergeCell ref="A105:H105"/>
    <mergeCell ref="J105:M105"/>
    <mergeCell ref="N105:P105"/>
    <mergeCell ref="Q105:V105"/>
    <mergeCell ref="W105:Y105"/>
    <mergeCell ref="Z105:AC105"/>
    <mergeCell ref="A88:N88"/>
    <mergeCell ref="O88:R88"/>
    <mergeCell ref="S88:W88"/>
    <mergeCell ref="X88:AD88"/>
    <mergeCell ref="A89:N89"/>
    <mergeCell ref="O89:R89"/>
    <mergeCell ref="S89:W89"/>
    <mergeCell ref="X89:AD89"/>
    <mergeCell ref="A90:N90"/>
    <mergeCell ref="O90:R90"/>
    <mergeCell ref="S90:W90"/>
    <mergeCell ref="X90:AD90"/>
    <mergeCell ref="A82:AD82"/>
    <mergeCell ref="A86:N86"/>
    <mergeCell ref="O86:R86"/>
    <mergeCell ref="S86:W86"/>
    <mergeCell ref="X86:AD86"/>
    <mergeCell ref="A87:N87"/>
    <mergeCell ref="O87:R87"/>
    <mergeCell ref="S87:W87"/>
    <mergeCell ref="X87:AD87"/>
    <mergeCell ref="B77:L77"/>
    <mergeCell ref="M77:O77"/>
    <mergeCell ref="P77:U77"/>
    <mergeCell ref="V77:AC77"/>
    <mergeCell ref="B78:L78"/>
    <mergeCell ref="M78:O78"/>
    <mergeCell ref="P78:U78"/>
    <mergeCell ref="V78:AC78"/>
    <mergeCell ref="B79:L79"/>
    <mergeCell ref="M79:O79"/>
    <mergeCell ref="P79:U79"/>
    <mergeCell ref="V79:AC79"/>
    <mergeCell ref="B74:L74"/>
    <mergeCell ref="M74:O74"/>
    <mergeCell ref="P74:U74"/>
    <mergeCell ref="V74:AC74"/>
    <mergeCell ref="B75:L75"/>
    <mergeCell ref="M75:O75"/>
    <mergeCell ref="P75:U75"/>
    <mergeCell ref="V75:AC75"/>
    <mergeCell ref="B76:L76"/>
    <mergeCell ref="M76:O76"/>
    <mergeCell ref="P76:U76"/>
    <mergeCell ref="V76:AC76"/>
    <mergeCell ref="B71:L71"/>
    <mergeCell ref="M71:O71"/>
    <mergeCell ref="P71:U71"/>
    <mergeCell ref="V71:AC71"/>
    <mergeCell ref="B72:L72"/>
    <mergeCell ref="M72:O72"/>
    <mergeCell ref="P72:U72"/>
    <mergeCell ref="V72:AC72"/>
    <mergeCell ref="B73:L73"/>
    <mergeCell ref="M73:O73"/>
    <mergeCell ref="P73:U73"/>
    <mergeCell ref="V73:AC73"/>
    <mergeCell ref="B68:L68"/>
    <mergeCell ref="M68:O68"/>
    <mergeCell ref="P68:U68"/>
    <mergeCell ref="V68:AC68"/>
    <mergeCell ref="B69:L69"/>
    <mergeCell ref="M69:O69"/>
    <mergeCell ref="P69:U69"/>
    <mergeCell ref="V69:AC69"/>
    <mergeCell ref="B70:L70"/>
    <mergeCell ref="M70:O70"/>
    <mergeCell ref="P70:U70"/>
    <mergeCell ref="V70:AC70"/>
    <mergeCell ref="A61:B61"/>
    <mergeCell ref="C61:M61"/>
    <mergeCell ref="N61:W61"/>
    <mergeCell ref="X61:AD61"/>
    <mergeCell ref="A62:AD62"/>
    <mergeCell ref="A64:O67"/>
    <mergeCell ref="P64:U64"/>
    <mergeCell ref="V64:AC64"/>
    <mergeCell ref="P65:U65"/>
    <mergeCell ref="V65:AC65"/>
    <mergeCell ref="P66:U66"/>
    <mergeCell ref="V66:AC66"/>
    <mergeCell ref="P67:U67"/>
    <mergeCell ref="V67:AC67"/>
    <mergeCell ref="A58:B58"/>
    <mergeCell ref="C58:M58"/>
    <mergeCell ref="N58:W58"/>
    <mergeCell ref="X58:AD58"/>
    <mergeCell ref="A59:B59"/>
    <mergeCell ref="C59:M59"/>
    <mergeCell ref="N59:W59"/>
    <mergeCell ref="X59:AD59"/>
    <mergeCell ref="A60:B60"/>
    <mergeCell ref="C60:M60"/>
    <mergeCell ref="N60:W60"/>
    <mergeCell ref="X60:AD60"/>
    <mergeCell ref="A55:B55"/>
    <mergeCell ref="C55:M55"/>
    <mergeCell ref="N55:W55"/>
    <mergeCell ref="X55:AD55"/>
    <mergeCell ref="A56:B56"/>
    <mergeCell ref="C56:M56"/>
    <mergeCell ref="N56:W56"/>
    <mergeCell ref="X56:AD56"/>
    <mergeCell ref="A57:B57"/>
    <mergeCell ref="C57:M57"/>
    <mergeCell ref="N57:W57"/>
    <mergeCell ref="X57:AD57"/>
    <mergeCell ref="A52:B53"/>
    <mergeCell ref="C52:M52"/>
    <mergeCell ref="N52:W52"/>
    <mergeCell ref="X52:AD52"/>
    <mergeCell ref="C53:M53"/>
    <mergeCell ref="N53:W53"/>
    <mergeCell ref="X53:AD53"/>
    <mergeCell ref="A54:B54"/>
    <mergeCell ref="C54:M54"/>
    <mergeCell ref="N54:W54"/>
    <mergeCell ref="X54:AD54"/>
    <mergeCell ref="A46:AD46"/>
    <mergeCell ref="A47:F47"/>
    <mergeCell ref="G47:K47"/>
    <mergeCell ref="L47:O47"/>
    <mergeCell ref="P47:T47"/>
    <mergeCell ref="U47:X47"/>
    <mergeCell ref="Y47:AD47"/>
    <mergeCell ref="A48:F48"/>
    <mergeCell ref="G48:K48"/>
    <mergeCell ref="L48:O48"/>
    <mergeCell ref="P48:T48"/>
    <mergeCell ref="U48:X48"/>
    <mergeCell ref="Y48:AD48"/>
    <mergeCell ref="A41:AD41"/>
    <mergeCell ref="A42:I42"/>
    <mergeCell ref="J42:T42"/>
    <mergeCell ref="U42:AA42"/>
    <mergeCell ref="AB42:AD42"/>
    <mergeCell ref="A43:I43"/>
    <mergeCell ref="J43:T43"/>
    <mergeCell ref="U43:AA43"/>
    <mergeCell ref="AB43:AD43"/>
    <mergeCell ref="A38:J38"/>
    <mergeCell ref="K38:S38"/>
    <mergeCell ref="T38:Z38"/>
    <mergeCell ref="AA38:AD38"/>
    <mergeCell ref="A39:J39"/>
    <mergeCell ref="K39:S39"/>
    <mergeCell ref="T39:Z39"/>
    <mergeCell ref="AA39:AD39"/>
    <mergeCell ref="A40:AD40"/>
    <mergeCell ref="A34:I34"/>
    <mergeCell ref="J34:P34"/>
    <mergeCell ref="Q34:X34"/>
    <mergeCell ref="Y34:AD34"/>
    <mergeCell ref="A35:I35"/>
    <mergeCell ref="J35:P35"/>
    <mergeCell ref="Q35:X35"/>
    <mergeCell ref="Y35:AD35"/>
    <mergeCell ref="A36:I36"/>
    <mergeCell ref="J36:P36"/>
    <mergeCell ref="Q36:X36"/>
    <mergeCell ref="Y36:AD36"/>
    <mergeCell ref="A28:C28"/>
    <mergeCell ref="D28:Q28"/>
    <mergeCell ref="R28:Y28"/>
    <mergeCell ref="Z28:AD28"/>
    <mergeCell ref="A32:I33"/>
    <mergeCell ref="J32:P32"/>
    <mergeCell ref="Q32:X32"/>
    <mergeCell ref="Y32:AD32"/>
    <mergeCell ref="J33:P33"/>
    <mergeCell ref="Q33:X33"/>
    <mergeCell ref="Y33:AD33"/>
    <mergeCell ref="A25:G25"/>
    <mergeCell ref="H25:K25"/>
    <mergeCell ref="L25:O25"/>
    <mergeCell ref="P25:T25"/>
    <mergeCell ref="U25:X25"/>
    <mergeCell ref="Y25:AB25"/>
    <mergeCell ref="AC25:AD25"/>
    <mergeCell ref="A27:C27"/>
    <mergeCell ref="D27:Q27"/>
    <mergeCell ref="R27:Y27"/>
    <mergeCell ref="Z27:AD27"/>
    <mergeCell ref="A23:G23"/>
    <mergeCell ref="H23:K23"/>
    <mergeCell ref="L23:O23"/>
    <mergeCell ref="P23:T23"/>
    <mergeCell ref="U23:X23"/>
    <mergeCell ref="Y23:AB23"/>
    <mergeCell ref="AC23:AD23"/>
    <mergeCell ref="A24:G24"/>
    <mergeCell ref="H24:K24"/>
    <mergeCell ref="L24:O24"/>
    <mergeCell ref="P24:T24"/>
    <mergeCell ref="U24:X24"/>
    <mergeCell ref="Y24:AB24"/>
    <mergeCell ref="AC24:AD24"/>
    <mergeCell ref="A21:G21"/>
    <mergeCell ref="H21:K21"/>
    <mergeCell ref="L21:O21"/>
    <mergeCell ref="P21:T21"/>
    <mergeCell ref="U21:X21"/>
    <mergeCell ref="Y21:AB21"/>
    <mergeCell ref="AC21:AD21"/>
    <mergeCell ref="A22:G22"/>
    <mergeCell ref="H22:K22"/>
    <mergeCell ref="L22:O22"/>
    <mergeCell ref="P22:T22"/>
    <mergeCell ref="U22:X22"/>
    <mergeCell ref="Y22:AB22"/>
    <mergeCell ref="AC22:AD22"/>
    <mergeCell ref="A19:G19"/>
    <mergeCell ref="H19:K19"/>
    <mergeCell ref="L19:O19"/>
    <mergeCell ref="P19:T19"/>
    <mergeCell ref="U19:X19"/>
    <mergeCell ref="Y19:AB19"/>
    <mergeCell ref="AC19:AD19"/>
    <mergeCell ref="A20:G20"/>
    <mergeCell ref="H20:K20"/>
    <mergeCell ref="L20:O20"/>
    <mergeCell ref="P20:T20"/>
    <mergeCell ref="U20:X20"/>
    <mergeCell ref="Y20:AB20"/>
    <mergeCell ref="AC20:AD20"/>
    <mergeCell ref="A17:G17"/>
    <mergeCell ref="H17:K17"/>
    <mergeCell ref="L17:O17"/>
    <mergeCell ref="P17:T17"/>
    <mergeCell ref="U17:X17"/>
    <mergeCell ref="Y17:AB17"/>
    <mergeCell ref="AC17:AD17"/>
    <mergeCell ref="A18:G18"/>
    <mergeCell ref="H18:K18"/>
    <mergeCell ref="L18:O18"/>
    <mergeCell ref="P18:T18"/>
    <mergeCell ref="U18:X18"/>
    <mergeCell ref="Y18:AB18"/>
    <mergeCell ref="AC18:AD18"/>
    <mergeCell ref="A15:G15"/>
    <mergeCell ref="H15:K15"/>
    <mergeCell ref="L15:O15"/>
    <mergeCell ref="P15:T15"/>
    <mergeCell ref="U15:X15"/>
    <mergeCell ref="Y15:AB15"/>
    <mergeCell ref="AC15:AD15"/>
    <mergeCell ref="A16:G16"/>
    <mergeCell ref="H16:K16"/>
    <mergeCell ref="L16:O16"/>
    <mergeCell ref="P16:T16"/>
    <mergeCell ref="U16:X16"/>
    <mergeCell ref="Y16:AB16"/>
    <mergeCell ref="AC16:AD16"/>
    <mergeCell ref="A12:D12"/>
    <mergeCell ref="E12:R12"/>
    <mergeCell ref="S12:Z12"/>
    <mergeCell ref="AA12:AD12"/>
    <mergeCell ref="A13:D13"/>
    <mergeCell ref="E13:R13"/>
    <mergeCell ref="S13:Z13"/>
    <mergeCell ref="AA13:AD13"/>
    <mergeCell ref="A14:AD14"/>
    <mergeCell ref="A9:D9"/>
    <mergeCell ref="E9:AD9"/>
    <mergeCell ref="A10:D10"/>
    <mergeCell ref="E10:R10"/>
    <mergeCell ref="S10:Z10"/>
    <mergeCell ref="AA10:AD10"/>
    <mergeCell ref="A11:D11"/>
    <mergeCell ref="E11:R11"/>
    <mergeCell ref="S11:Z11"/>
    <mergeCell ref="AA11:AD11"/>
    <mergeCell ref="A6:I6"/>
    <mergeCell ref="J6:O6"/>
    <mergeCell ref="P6:X6"/>
    <mergeCell ref="Y6:AD6"/>
    <mergeCell ref="A7:I7"/>
    <mergeCell ref="J7:O7"/>
    <mergeCell ref="P7:X7"/>
    <mergeCell ref="Y7:AD7"/>
    <mergeCell ref="A8:I8"/>
    <mergeCell ref="J8:O8"/>
    <mergeCell ref="P8:X8"/>
    <mergeCell ref="Y8:AD8"/>
    <mergeCell ref="A3:I4"/>
    <mergeCell ref="J3:O3"/>
    <mergeCell ref="P3:X3"/>
    <mergeCell ref="Y3:AD3"/>
    <mergeCell ref="J4:O4"/>
    <mergeCell ref="P4:X4"/>
    <mergeCell ref="Y4:AD4"/>
    <mergeCell ref="A5:I5"/>
    <mergeCell ref="J5:O5"/>
    <mergeCell ref="P5:X5"/>
    <mergeCell ref="Y5:A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7722-76C2-4B49-8CA1-AB34EB866561}">
  <dimension ref="A4:O43"/>
  <sheetViews>
    <sheetView tabSelected="1" zoomScaleNormal="100" workbookViewId="0">
      <selection activeCell="P37" sqref="P37"/>
    </sheetView>
  </sheetViews>
  <sheetFormatPr baseColWidth="10" defaultColWidth="8.796875" defaultRowHeight="13" x14ac:dyDescent="0.15"/>
  <cols>
    <col min="1" max="1" width="6.59765625" customWidth="1"/>
    <col min="2" max="2" width="35.19921875" bestFit="1" customWidth="1"/>
    <col min="3" max="3" width="26.3984375" hidden="1" customWidth="1"/>
    <col min="4" max="4" width="13.59765625" style="19" bestFit="1" customWidth="1"/>
    <col min="5" max="5" width="12.19921875" style="20" customWidth="1"/>
    <col min="6" max="6" width="13.59765625" style="19" bestFit="1" customWidth="1"/>
    <col min="7" max="7" width="12.19921875" style="20" customWidth="1"/>
    <col min="8" max="8" width="13.59765625" style="19" bestFit="1" customWidth="1"/>
    <col min="9" max="9" width="12.19921875" style="20" customWidth="1"/>
    <col min="10" max="10" width="13.59765625" style="19" bestFit="1" customWidth="1"/>
    <col min="11" max="11" width="12.19921875" style="20" customWidth="1"/>
    <col min="12" max="12" width="13.59765625" style="19" bestFit="1" customWidth="1"/>
    <col min="13" max="13" width="8.796875" style="19"/>
    <col min="14" max="14" width="14.59765625" style="19" bestFit="1" customWidth="1"/>
    <col min="15" max="16384" width="8.796875" style="19"/>
  </cols>
  <sheetData>
    <row r="4" spans="1:15" ht="14" thickBot="1" x14ac:dyDescent="0.2">
      <c r="N4" s="21" t="s">
        <v>152</v>
      </c>
    </row>
    <row r="5" spans="1:15" s="21" customFormat="1" x14ac:dyDescent="0.15">
      <c r="A5" s="10" t="s">
        <v>150</v>
      </c>
      <c r="B5" s="10"/>
      <c r="C5" s="10"/>
      <c r="D5" s="21">
        <v>2022</v>
      </c>
      <c r="E5" s="22" t="s">
        <v>140</v>
      </c>
      <c r="F5" s="21">
        <v>2021</v>
      </c>
      <c r="G5" s="22" t="s">
        <v>140</v>
      </c>
      <c r="H5" s="21">
        <v>2020</v>
      </c>
      <c r="I5" s="22" t="s">
        <v>140</v>
      </c>
      <c r="J5" s="21">
        <v>2019</v>
      </c>
      <c r="K5" s="22" t="s">
        <v>140</v>
      </c>
      <c r="L5" s="21">
        <v>2018</v>
      </c>
      <c r="M5" s="23" t="s">
        <v>130</v>
      </c>
      <c r="N5" s="21" t="s">
        <v>151</v>
      </c>
    </row>
    <row r="6" spans="1:15" x14ac:dyDescent="0.15">
      <c r="A6" s="10"/>
      <c r="B6" s="10" t="s">
        <v>146</v>
      </c>
      <c r="D6" s="24">
        <v>205489</v>
      </c>
      <c r="E6" s="26">
        <f>(D6-F6)/F6</f>
        <v>7.0405734139696724E-2</v>
      </c>
      <c r="F6" s="27">
        <v>191973</v>
      </c>
      <c r="G6" s="26">
        <f>(F6-H6)/H6</f>
        <v>0.39331983364905176</v>
      </c>
      <c r="H6" s="24">
        <v>137781</v>
      </c>
      <c r="I6" s="26">
        <f>(H6-J6)/J6</f>
        <v>-3.2307681502447658E-2</v>
      </c>
      <c r="J6" s="24">
        <v>142381</v>
      </c>
      <c r="K6" s="20">
        <f>(J6-L6)/L6</f>
        <v>-0.13649871427878318</v>
      </c>
      <c r="L6" s="24">
        <v>164888</v>
      </c>
      <c r="M6" s="45">
        <f>(D6/L6)^(1/5)-1</f>
        <v>4.5008699012933251E-2</v>
      </c>
      <c r="N6" s="19">
        <f>(D6/L6)^(1/10)-1</f>
        <v>2.2256669830494902E-2</v>
      </c>
    </row>
    <row r="7" spans="1:15" x14ac:dyDescent="0.15">
      <c r="A7" s="10"/>
      <c r="B7" s="10" t="s">
        <v>147</v>
      </c>
      <c r="D7" s="24">
        <v>40177</v>
      </c>
      <c r="E7" s="26">
        <f t="shared" ref="E7:E20" si="0">(D7-F7)/F7</f>
        <v>0.14171639670360897</v>
      </c>
      <c r="F7" s="27">
        <v>35190</v>
      </c>
      <c r="G7" s="26">
        <f t="shared" ref="G7:G9" si="1">(F7-H7)/H7</f>
        <v>0.22947383131856613</v>
      </c>
      <c r="H7" s="24">
        <v>28622</v>
      </c>
      <c r="I7" s="26">
        <f t="shared" ref="I7:I9" si="2">(H7-J7)/J7</f>
        <v>0.11196581196581197</v>
      </c>
      <c r="J7" s="24">
        <v>25740</v>
      </c>
      <c r="K7" s="20">
        <f t="shared" ref="K7:K20" si="3">(J7-L7)/L7</f>
        <v>2.1509643622509723E-2</v>
      </c>
      <c r="L7" s="24">
        <v>25198</v>
      </c>
      <c r="M7" s="45">
        <f>(D7/L7)^(1/5)-1</f>
        <v>9.7797624501835489E-2</v>
      </c>
      <c r="N7" s="19">
        <f t="shared" ref="N7:N9" si="4">(D7/L7)^(1/10)-1</f>
        <v>4.7758380783391896E-2</v>
      </c>
    </row>
    <row r="8" spans="1:15" x14ac:dyDescent="0.15">
      <c r="A8" s="10"/>
      <c r="B8" s="10" t="s">
        <v>148</v>
      </c>
      <c r="D8" s="24">
        <v>29292</v>
      </c>
      <c r="E8" s="26">
        <f t="shared" si="0"/>
        <v>-8.0660347749670458E-2</v>
      </c>
      <c r="F8" s="27">
        <v>31862</v>
      </c>
      <c r="G8" s="26">
        <f t="shared" si="1"/>
        <v>0.34302815714044849</v>
      </c>
      <c r="H8" s="24">
        <v>23724</v>
      </c>
      <c r="I8" s="26">
        <f t="shared" si="2"/>
        <v>0.11484962406015038</v>
      </c>
      <c r="J8" s="24">
        <v>21280</v>
      </c>
      <c r="K8" s="20">
        <f t="shared" si="3"/>
        <v>0.15778019586507072</v>
      </c>
      <c r="L8" s="24">
        <v>18380</v>
      </c>
      <c r="M8" s="45">
        <f>(D8/L8)^(1/5)-1</f>
        <v>9.7692517161710457E-2</v>
      </c>
      <c r="N8" s="19">
        <f t="shared" si="4"/>
        <v>4.7708221386904448E-2</v>
      </c>
    </row>
    <row r="9" spans="1:15" ht="14" thickBot="1" x14ac:dyDescent="0.2">
      <c r="A9" s="10"/>
      <c r="B9" s="10" t="s">
        <v>149</v>
      </c>
      <c r="D9" s="27">
        <v>41241</v>
      </c>
      <c r="E9" s="26">
        <f t="shared" si="0"/>
        <v>7.4908124169207918E-2</v>
      </c>
      <c r="F9" s="27">
        <v>38367</v>
      </c>
      <c r="G9" s="26">
        <f t="shared" si="1"/>
        <v>0.25300457217504901</v>
      </c>
      <c r="H9" s="24">
        <v>30620</v>
      </c>
      <c r="I9" s="26">
        <f t="shared" si="2"/>
        <v>0.25071481088146391</v>
      </c>
      <c r="J9" s="24">
        <v>24482</v>
      </c>
      <c r="K9" s="20">
        <f t="shared" si="3"/>
        <v>0.40854956561762845</v>
      </c>
      <c r="L9" s="24">
        <v>17381</v>
      </c>
      <c r="M9" s="45">
        <f>(D9/L9)^(1/5)-1</f>
        <v>0.18864149042932143</v>
      </c>
      <c r="N9" s="19">
        <f t="shared" si="4"/>
        <v>9.0248361809969202E-2</v>
      </c>
    </row>
    <row r="10" spans="1:15" ht="14" thickBot="1" x14ac:dyDescent="0.2">
      <c r="A10" s="10" t="s">
        <v>144</v>
      </c>
      <c r="C10" s="10"/>
      <c r="D10" s="28">
        <f>SUM(D6:D9)</f>
        <v>316199</v>
      </c>
      <c r="E10" s="29">
        <f t="shared" si="0"/>
        <v>6.3239764351428418E-2</v>
      </c>
      <c r="F10" s="28">
        <f t="shared" ref="F10:L10" si="5">SUM(F6:F9)</f>
        <v>297392</v>
      </c>
      <c r="G10" s="29">
        <f>(F10-H10)/H10</f>
        <v>0.34720743656765435</v>
      </c>
      <c r="H10" s="28">
        <f t="shared" si="5"/>
        <v>220747</v>
      </c>
      <c r="I10" s="29">
        <f>(H10-J10)/J10</f>
        <v>3.2092312151970941E-2</v>
      </c>
      <c r="J10" s="28">
        <f t="shared" si="5"/>
        <v>213883</v>
      </c>
      <c r="K10" s="29">
        <f>(J10-L10)/L10</f>
        <v>-5.2973915969660876E-2</v>
      </c>
      <c r="L10" s="28">
        <f t="shared" si="5"/>
        <v>225847</v>
      </c>
      <c r="M10" s="48">
        <f>(D10/L10)^(1/5)-1</f>
        <v>6.9619306310309659E-2</v>
      </c>
      <c r="N10" s="19">
        <f>(D10/L10)^(1/10)-1</f>
        <v>3.4224011667834731E-2</v>
      </c>
      <c r="O10" s="46" t="s">
        <v>153</v>
      </c>
    </row>
    <row r="11" spans="1:15" x14ac:dyDescent="0.15">
      <c r="A11" s="10"/>
      <c r="B11" s="10"/>
      <c r="C11" s="10"/>
      <c r="D11" s="28"/>
      <c r="E11" s="26"/>
      <c r="F11" s="28"/>
      <c r="G11" s="26"/>
      <c r="H11" s="28"/>
      <c r="I11" s="26"/>
      <c r="J11" s="28"/>
      <c r="L11" s="28"/>
      <c r="M11" s="45"/>
    </row>
    <row r="12" spans="1:15" x14ac:dyDescent="0.15">
      <c r="A12" s="10"/>
      <c r="B12" s="10" t="s">
        <v>127</v>
      </c>
      <c r="C12" s="10"/>
      <c r="D12" s="24">
        <v>78129</v>
      </c>
      <c r="E12" s="26">
        <f t="shared" si="0"/>
        <v>0.14181951041286078</v>
      </c>
      <c r="F12" s="24">
        <v>68425</v>
      </c>
      <c r="G12" s="26">
        <f t="shared" ref="G12:G20" si="6">(F12-H12)/H12</f>
        <v>0.27259708376729652</v>
      </c>
      <c r="H12" s="24">
        <v>53768</v>
      </c>
      <c r="I12" s="26">
        <f t="shared" ref="I12:I20" si="7">(H12-J12)/J12</f>
        <v>0.16152167807997234</v>
      </c>
      <c r="J12" s="24">
        <v>46291</v>
      </c>
      <c r="K12" s="20">
        <f t="shared" si="3"/>
        <v>0.16461205595250075</v>
      </c>
      <c r="L12" s="24">
        <v>39748</v>
      </c>
      <c r="M12" s="45">
        <f t="shared" ref="M12:M20" si="8">(D12/L12)^(1/5)-1</f>
        <v>0.14472033272323293</v>
      </c>
      <c r="N12" s="19">
        <f t="shared" ref="N12:N14" si="9">(D12/L12)^(1/10)-1</f>
        <v>6.9916040034559312E-2</v>
      </c>
    </row>
    <row r="13" spans="1:15" ht="14" thickBot="1" x14ac:dyDescent="0.2">
      <c r="A13" s="10"/>
      <c r="B13" s="10"/>
      <c r="C13" s="10"/>
      <c r="D13" s="28"/>
      <c r="E13" s="26"/>
      <c r="F13" s="28"/>
      <c r="G13" s="26"/>
      <c r="H13" s="28"/>
      <c r="I13" s="26"/>
      <c r="J13" s="28"/>
      <c r="L13" s="28"/>
      <c r="M13" s="45"/>
    </row>
    <row r="14" spans="1:15" ht="14" thickBot="1" x14ac:dyDescent="0.2">
      <c r="A14" s="10" t="s">
        <v>137</v>
      </c>
      <c r="B14" s="10"/>
      <c r="C14" s="10"/>
      <c r="D14" s="30">
        <f>SUM(D10:D12)</f>
        <v>394328</v>
      </c>
      <c r="E14" s="26">
        <f t="shared" si="0"/>
        <v>7.7937876041846058E-2</v>
      </c>
      <c r="F14" s="30">
        <f t="shared" ref="F14:L14" si="10">SUM(F10:F12)</f>
        <v>365817</v>
      </c>
      <c r="G14" s="26">
        <f t="shared" si="6"/>
        <v>0.33259384733074693</v>
      </c>
      <c r="H14" s="30">
        <f t="shared" si="10"/>
        <v>274515</v>
      </c>
      <c r="I14" s="26">
        <f t="shared" si="7"/>
        <v>5.5120803769784836E-2</v>
      </c>
      <c r="J14" s="30">
        <f t="shared" si="10"/>
        <v>260174</v>
      </c>
      <c r="K14" s="20">
        <f t="shared" si="3"/>
        <v>-2.0410775805267418E-2</v>
      </c>
      <c r="L14" s="30">
        <f t="shared" si="10"/>
        <v>265595</v>
      </c>
      <c r="M14" s="45">
        <f t="shared" si="8"/>
        <v>8.2249874774715126E-2</v>
      </c>
      <c r="N14" s="19">
        <f t="shared" si="9"/>
        <v>4.031239287759858E-2</v>
      </c>
      <c r="O14" s="46" t="s">
        <v>153</v>
      </c>
    </row>
    <row r="15" spans="1:15" x14ac:dyDescent="0.15">
      <c r="A15" s="10"/>
      <c r="B15" s="10"/>
      <c r="C15" s="10"/>
      <c r="D15" s="28"/>
      <c r="E15" s="26"/>
      <c r="F15" s="28"/>
      <c r="G15" s="26"/>
      <c r="H15" s="28"/>
      <c r="I15" s="26"/>
      <c r="J15" s="28"/>
      <c r="L15" s="28"/>
      <c r="M15" s="45"/>
    </row>
    <row r="16" spans="1:15" x14ac:dyDescent="0.15">
      <c r="A16" s="10" t="s">
        <v>126</v>
      </c>
      <c r="B16" s="19"/>
      <c r="C16" s="10"/>
      <c r="D16" s="24"/>
      <c r="E16" s="26"/>
      <c r="F16" s="28"/>
      <c r="G16" s="26"/>
      <c r="H16" s="28"/>
      <c r="I16" s="26"/>
      <c r="J16" s="28"/>
      <c r="L16" s="24"/>
      <c r="M16" s="45"/>
    </row>
    <row r="17" spans="1:15" x14ac:dyDescent="0.15">
      <c r="A17" s="10"/>
      <c r="B17" s="10" t="s">
        <v>128</v>
      </c>
      <c r="C17" s="19"/>
      <c r="D17" s="28">
        <v>201471</v>
      </c>
      <c r="E17" s="29">
        <f t="shared" si="0"/>
        <v>4.7876379599097081E-2</v>
      </c>
      <c r="F17" s="28">
        <v>192266</v>
      </c>
      <c r="G17" s="29">
        <f t="shared" si="6"/>
        <v>0.27087767539626934</v>
      </c>
      <c r="H17" s="28">
        <v>151286</v>
      </c>
      <c r="I17" s="29">
        <f t="shared" si="7"/>
        <v>4.3380507048470303E-2</v>
      </c>
      <c r="J17" s="28">
        <v>144996</v>
      </c>
      <c r="K17" s="29">
        <f t="shared" si="3"/>
        <v>-2.1381712156799224E-2</v>
      </c>
      <c r="L17" s="28">
        <v>148164</v>
      </c>
      <c r="M17" s="48">
        <f t="shared" si="8"/>
        <v>6.3393422172385749E-2</v>
      </c>
      <c r="N17" s="30">
        <f>SUM(D17:M17)</f>
        <v>838183.40414627199</v>
      </c>
    </row>
    <row r="18" spans="1:15" ht="14" thickBot="1" x14ac:dyDescent="0.2">
      <c r="A18" s="10"/>
      <c r="B18" s="10" t="s">
        <v>129</v>
      </c>
      <c r="C18" s="19"/>
      <c r="D18" s="28">
        <v>22075</v>
      </c>
      <c r="E18" s="29">
        <f t="shared" si="0"/>
        <v>6.5652908520395847E-2</v>
      </c>
      <c r="F18" s="28">
        <v>20715</v>
      </c>
      <c r="G18" s="29">
        <f t="shared" si="6"/>
        <v>0.13363979642094895</v>
      </c>
      <c r="H18" s="28">
        <v>18273</v>
      </c>
      <c r="I18" s="29">
        <f t="shared" si="7"/>
        <v>8.8585726200405099E-2</v>
      </c>
      <c r="J18" s="28">
        <v>16786</v>
      </c>
      <c r="K18" s="29">
        <f t="shared" si="3"/>
        <v>7.6577732170343762E-2</v>
      </c>
      <c r="L18" s="28">
        <v>15592</v>
      </c>
      <c r="M18" s="48">
        <f t="shared" si="8"/>
        <v>7.2012321862158224E-2</v>
      </c>
      <c r="N18" s="30">
        <f t="shared" ref="N18:N20" si="11">SUM(D18:M18)</f>
        <v>93441.436468485175</v>
      </c>
    </row>
    <row r="19" spans="1:15" ht="14" thickBot="1" x14ac:dyDescent="0.2">
      <c r="A19" s="10" t="s">
        <v>138</v>
      </c>
      <c r="B19" s="10"/>
      <c r="C19" s="10"/>
      <c r="D19" s="24">
        <f>SUM(D17:D18)</f>
        <v>223546</v>
      </c>
      <c r="E19" s="26">
        <f t="shared" si="0"/>
        <v>4.9605363858747961E-2</v>
      </c>
      <c r="F19" s="24">
        <f>SUM(F17:F18)</f>
        <v>212981</v>
      </c>
      <c r="G19" s="26">
        <f t="shared" si="6"/>
        <v>0.25608785142634716</v>
      </c>
      <c r="H19" s="24">
        <f>SUM(H17:H18)</f>
        <v>169559</v>
      </c>
      <c r="I19" s="26">
        <f t="shared" si="7"/>
        <v>4.8070860787973943E-2</v>
      </c>
      <c r="J19" s="24">
        <f>SUM(J17:J18)</f>
        <v>161782</v>
      </c>
      <c r="K19" s="20">
        <f t="shared" si="3"/>
        <v>-1.2054520139720071E-2</v>
      </c>
      <c r="L19" s="24">
        <f>SUM(L17:L18)</f>
        <v>163756</v>
      </c>
      <c r="M19" s="45">
        <f t="shared" si="8"/>
        <v>6.4226175058384127E-2</v>
      </c>
      <c r="N19" s="30">
        <f t="shared" si="11"/>
        <v>931624.4059357309</v>
      </c>
      <c r="O19" s="46" t="s">
        <v>153</v>
      </c>
    </row>
    <row r="20" spans="1:15" ht="14" thickBot="1" x14ac:dyDescent="0.2">
      <c r="A20" s="10" t="s">
        <v>139</v>
      </c>
      <c r="B20" s="10"/>
      <c r="C20" s="10"/>
      <c r="D20" s="24">
        <f>D14-D19</f>
        <v>170782</v>
      </c>
      <c r="E20" s="26">
        <f t="shared" si="0"/>
        <v>0.11741997958596143</v>
      </c>
      <c r="F20" s="24">
        <f>F14-F19</f>
        <v>152836</v>
      </c>
      <c r="G20" s="26">
        <f t="shared" si="6"/>
        <v>0.45619116582186819</v>
      </c>
      <c r="H20" s="24">
        <f>H14-H19</f>
        <v>104956</v>
      </c>
      <c r="I20" s="26">
        <f t="shared" si="7"/>
        <v>6.6712740873241722E-2</v>
      </c>
      <c r="J20" s="24">
        <f>J14-J19</f>
        <v>98392</v>
      </c>
      <c r="K20" s="20">
        <f t="shared" si="3"/>
        <v>-3.3847543671874231E-2</v>
      </c>
      <c r="L20" s="24">
        <f>L14-L19</f>
        <v>101839</v>
      </c>
      <c r="M20" s="45">
        <f t="shared" si="8"/>
        <v>0.10893373094946446</v>
      </c>
      <c r="N20" s="30">
        <f t="shared" si="11"/>
        <v>628805.71541007364</v>
      </c>
      <c r="O20" s="46" t="s">
        <v>153</v>
      </c>
    </row>
    <row r="21" spans="1:15" x14ac:dyDescent="0.15">
      <c r="A21" s="10"/>
      <c r="B21" s="10"/>
      <c r="C21" s="10"/>
      <c r="E21" s="29"/>
      <c r="G21" s="29"/>
      <c r="I21" s="29"/>
      <c r="K21" s="29"/>
      <c r="M21" s="45"/>
    </row>
    <row r="22" spans="1:15" ht="14" thickBot="1" x14ac:dyDescent="0.2">
      <c r="A22" s="10"/>
      <c r="B22" s="10"/>
      <c r="C22" s="10"/>
      <c r="E22" s="29"/>
      <c r="G22" s="29"/>
      <c r="I22" s="29"/>
      <c r="K22" s="29"/>
      <c r="M22" s="45"/>
    </row>
    <row r="23" spans="1:15" x14ac:dyDescent="0.15">
      <c r="B23" s="17" t="s">
        <v>131</v>
      </c>
      <c r="C23" s="12"/>
      <c r="D23" s="43">
        <f t="shared" ref="D23:L23" si="12">D10-D17</f>
        <v>114728</v>
      </c>
      <c r="E23" s="32">
        <f t="shared" si="12"/>
        <v>1.5363384752331337E-2</v>
      </c>
      <c r="F23" s="43">
        <f t="shared" si="12"/>
        <v>105126</v>
      </c>
      <c r="G23" s="32">
        <f t="shared" si="12"/>
        <v>7.6329761171385013E-2</v>
      </c>
      <c r="H23" s="43">
        <f t="shared" si="12"/>
        <v>69461</v>
      </c>
      <c r="I23" s="32">
        <f t="shared" si="12"/>
        <v>-1.1288194896499362E-2</v>
      </c>
      <c r="J23" s="43">
        <f t="shared" si="12"/>
        <v>68887</v>
      </c>
      <c r="K23" s="32">
        <f t="shared" si="12"/>
        <v>-3.1592203812861652E-2</v>
      </c>
      <c r="L23" s="43">
        <f t="shared" si="12"/>
        <v>77683</v>
      </c>
      <c r="M23" s="45">
        <f>(D23/L23)^(1/5)-1</f>
        <v>8.1107018443380863E-2</v>
      </c>
      <c r="N23" s="50">
        <f>SUM(D23:M23)</f>
        <v>435885.12991976563</v>
      </c>
    </row>
    <row r="24" spans="1:15" x14ac:dyDescent="0.15">
      <c r="B24" s="13"/>
      <c r="E24" s="33"/>
      <c r="G24" s="33"/>
      <c r="I24" s="33"/>
      <c r="K24" s="33"/>
      <c r="M24" s="45"/>
      <c r="N24" s="30"/>
    </row>
    <row r="25" spans="1:15" ht="14" thickBot="1" x14ac:dyDescent="0.2">
      <c r="B25" s="18" t="s">
        <v>132</v>
      </c>
      <c r="C25" s="15"/>
      <c r="D25" s="44">
        <f t="shared" ref="D25:L25" si="13">D12-D18</f>
        <v>56054</v>
      </c>
      <c r="E25" s="35">
        <f t="shared" si="13"/>
        <v>7.6166601892464936E-2</v>
      </c>
      <c r="F25" s="44">
        <f t="shared" si="13"/>
        <v>47710</v>
      </c>
      <c r="G25" s="35">
        <f t="shared" si="13"/>
        <v>0.13895728734634757</v>
      </c>
      <c r="H25" s="44">
        <f t="shared" si="13"/>
        <v>35495</v>
      </c>
      <c r="I25" s="35">
        <f t="shared" si="13"/>
        <v>7.2935951879567237E-2</v>
      </c>
      <c r="J25" s="44">
        <f t="shared" si="13"/>
        <v>29505</v>
      </c>
      <c r="K25" s="35">
        <f t="shared" si="13"/>
        <v>8.803432378215699E-2</v>
      </c>
      <c r="L25" s="44">
        <f t="shared" si="13"/>
        <v>24156</v>
      </c>
      <c r="M25" s="45">
        <f>(D25/L25)^(1/5)-1</f>
        <v>0.18335845370358306</v>
      </c>
      <c r="N25" s="50">
        <f t="shared" ref="N25" si="14">SUM(D25:M25)</f>
        <v>192920.55945261862</v>
      </c>
    </row>
    <row r="28" spans="1:15" ht="14" thickBot="1" x14ac:dyDescent="0.2"/>
    <row r="29" spans="1:15" x14ac:dyDescent="0.15">
      <c r="A29" s="11" t="s">
        <v>141</v>
      </c>
      <c r="B29" s="12"/>
      <c r="C29" s="12"/>
      <c r="D29" s="31"/>
      <c r="E29" s="36"/>
      <c r="F29" s="31"/>
      <c r="G29" s="36"/>
      <c r="H29" s="31"/>
      <c r="I29" s="36"/>
      <c r="J29" s="31"/>
      <c r="K29" s="36"/>
      <c r="L29" s="37"/>
    </row>
    <row r="30" spans="1:15" x14ac:dyDescent="0.15">
      <c r="A30" s="13"/>
      <c r="B30" s="10" t="s">
        <v>133</v>
      </c>
      <c r="D30" s="38">
        <f>D6/D35</f>
        <v>0.52111186626361805</v>
      </c>
      <c r="E30" s="39"/>
      <c r="F30" s="38">
        <f>F6/F35</f>
        <v>0.52477878283404</v>
      </c>
      <c r="G30" s="39"/>
      <c r="H30" s="38">
        <f>H6/H35</f>
        <v>0.50190699961750729</v>
      </c>
      <c r="I30" s="39"/>
      <c r="J30" s="38">
        <f>J6/J35</f>
        <v>0.54725299222827795</v>
      </c>
      <c r="K30" s="39"/>
      <c r="L30" s="40">
        <f>L6/L35</f>
        <v>0.62082494022854351</v>
      </c>
    </row>
    <row r="31" spans="1:15" x14ac:dyDescent="0.15">
      <c r="A31" s="13"/>
      <c r="B31" s="10" t="s">
        <v>134</v>
      </c>
      <c r="D31" s="38">
        <f>D7/D35</f>
        <v>0.10188726136617232</v>
      </c>
      <c r="E31" s="39"/>
      <c r="F31" s="38">
        <f>F7/F35</f>
        <v>9.6195638803008063E-2</v>
      </c>
      <c r="G31" s="39"/>
      <c r="H31" s="38">
        <f>H7/H35</f>
        <v>0.10426388357648944</v>
      </c>
      <c r="I31" s="39"/>
      <c r="J31" s="38">
        <f>J7/J35</f>
        <v>9.8933790463305332E-2</v>
      </c>
      <c r="K31" s="39"/>
      <c r="L31" s="40">
        <f>L7/L35</f>
        <v>9.487377397917883E-2</v>
      </c>
    </row>
    <row r="32" spans="1:15" ht="14" thickBot="1" x14ac:dyDescent="0.2">
      <c r="A32" s="13"/>
      <c r="B32" s="10" t="s">
        <v>135</v>
      </c>
      <c r="D32" s="38">
        <f>D8/D35</f>
        <v>7.4283337728997187E-2</v>
      </c>
      <c r="E32" s="39"/>
      <c r="F32" s="38">
        <f>F8/F35</f>
        <v>8.7098193905696022E-2</v>
      </c>
      <c r="G32" s="39"/>
      <c r="H32" s="38">
        <f>H8/H35</f>
        <v>8.6421507021474234E-2</v>
      </c>
      <c r="I32" s="39"/>
      <c r="J32" s="38">
        <f>J8/J35</f>
        <v>8.1791416513564003E-2</v>
      </c>
      <c r="K32" s="39"/>
      <c r="L32" s="40">
        <f>L8/L35</f>
        <v>6.9203109998305687E-2</v>
      </c>
    </row>
    <row r="33" spans="1:12" x14ac:dyDescent="0.15">
      <c r="A33" s="13"/>
      <c r="B33" s="10" t="s">
        <v>136</v>
      </c>
      <c r="D33" s="49">
        <f>D9/D35</f>
        <v>0.10458552271205697</v>
      </c>
      <c r="E33" s="39"/>
      <c r="F33" s="38">
        <f>F9/F35</f>
        <v>0.10488030900696249</v>
      </c>
      <c r="G33" s="39"/>
      <c r="H33" s="38">
        <f>H9/H35</f>
        <v>0.11154217438027066</v>
      </c>
      <c r="I33" s="39"/>
      <c r="J33" s="38">
        <f>J9/J35</f>
        <v>9.4098564806629412E-2</v>
      </c>
      <c r="K33" s="39"/>
      <c r="L33" s="40">
        <f>L9/L35</f>
        <v>6.5441744008735106E-2</v>
      </c>
    </row>
    <row r="34" spans="1:12" x14ac:dyDescent="0.15">
      <c r="A34" s="13"/>
      <c r="B34" s="10" t="s">
        <v>127</v>
      </c>
      <c r="D34" s="47">
        <f>D10/D35</f>
        <v>0.80186798807084458</v>
      </c>
      <c r="E34" s="39"/>
      <c r="F34" s="38">
        <f>F10/F35</f>
        <v>0.81295292454970658</v>
      </c>
      <c r="G34" s="39"/>
      <c r="H34" s="38">
        <f>H10/H35</f>
        <v>0.80413456459574162</v>
      </c>
      <c r="I34" s="39"/>
      <c r="J34" s="38">
        <f>J10/J35</f>
        <v>0.82207676401177676</v>
      </c>
      <c r="K34" s="39"/>
      <c r="L34" s="40">
        <f>L10/L35</f>
        <v>0.85034356821476309</v>
      </c>
    </row>
    <row r="35" spans="1:12" ht="14" thickBot="1" x14ac:dyDescent="0.2">
      <c r="A35" s="14" t="s">
        <v>142</v>
      </c>
      <c r="B35" s="15"/>
      <c r="C35" s="15"/>
      <c r="D35" s="34">
        <f>D14</f>
        <v>394328</v>
      </c>
      <c r="E35" s="41"/>
      <c r="F35" s="34">
        <f>F14</f>
        <v>365817</v>
      </c>
      <c r="G35" s="41"/>
      <c r="H35" s="34">
        <f>H14</f>
        <v>274515</v>
      </c>
      <c r="I35" s="41"/>
      <c r="J35" s="34">
        <f>J14</f>
        <v>260174</v>
      </c>
      <c r="K35" s="41"/>
      <c r="L35" s="42">
        <f>L14</f>
        <v>265595</v>
      </c>
    </row>
    <row r="36" spans="1:12" x14ac:dyDescent="0.15">
      <c r="J36" s="25" t="s">
        <v>145</v>
      </c>
    </row>
    <row r="37" spans="1:12" ht="14" thickBot="1" x14ac:dyDescent="0.2"/>
    <row r="38" spans="1:12" x14ac:dyDescent="0.15">
      <c r="A38" s="11" t="s">
        <v>143</v>
      </c>
      <c r="B38" s="12"/>
      <c r="C38" s="12"/>
      <c r="D38" s="31"/>
      <c r="E38" s="36"/>
      <c r="F38" s="31"/>
      <c r="G38" s="36"/>
      <c r="H38" s="31"/>
      <c r="I38" s="36"/>
      <c r="J38" s="31"/>
      <c r="K38" s="36"/>
      <c r="L38" s="37"/>
    </row>
    <row r="39" spans="1:12" x14ac:dyDescent="0.15">
      <c r="A39" s="13"/>
      <c r="B39" s="10" t="s">
        <v>133</v>
      </c>
      <c r="D39" s="38">
        <f>D6/D43</f>
        <v>0.6498723904882685</v>
      </c>
      <c r="E39" s="39"/>
      <c r="F39" s="38">
        <f>F6/F43</f>
        <v>0.64552173562167103</v>
      </c>
      <c r="G39" s="39"/>
      <c r="H39" s="38">
        <f>H6/H43</f>
        <v>0.62415797270178075</v>
      </c>
      <c r="I39" s="39"/>
      <c r="J39" s="38">
        <f>J6/J43</f>
        <v>0.66569573084349853</v>
      </c>
      <c r="K39" s="39"/>
      <c r="L39" s="40">
        <f>L6/L43</f>
        <v>0.73008718291586783</v>
      </c>
    </row>
    <row r="40" spans="1:12" x14ac:dyDescent="0.15">
      <c r="A40" s="13"/>
      <c r="B40" s="10" t="s">
        <v>134</v>
      </c>
      <c r="D40" s="38">
        <f>D7/D43</f>
        <v>0.12706238792659053</v>
      </c>
      <c r="E40" s="39"/>
      <c r="F40" s="38">
        <f>F7/F43</f>
        <v>0.11832867057620917</v>
      </c>
      <c r="G40" s="39"/>
      <c r="H40" s="38">
        <f>H7/H43</f>
        <v>0.12965974622531676</v>
      </c>
      <c r="I40" s="39"/>
      <c r="J40" s="38">
        <f>J7/J43</f>
        <v>0.12034617056989101</v>
      </c>
      <c r="K40" s="39"/>
      <c r="L40" s="40">
        <f>L7/L43</f>
        <v>0.11157110787391464</v>
      </c>
    </row>
    <row r="41" spans="1:12" x14ac:dyDescent="0.15">
      <c r="A41" s="13"/>
      <c r="B41" s="10" t="s">
        <v>135</v>
      </c>
      <c r="D41" s="38">
        <f>D8/D43</f>
        <v>9.2637864129867589E-2</v>
      </c>
      <c r="E41" s="39"/>
      <c r="F41" s="38">
        <f>F8/F43</f>
        <v>0.10713805347823747</v>
      </c>
      <c r="G41" s="39"/>
      <c r="H41" s="38">
        <f>H8/H43</f>
        <v>0.10747144921561788</v>
      </c>
      <c r="I41" s="39"/>
      <c r="J41" s="38">
        <f>J8/J43</f>
        <v>9.9493648396553253E-2</v>
      </c>
      <c r="K41" s="39"/>
      <c r="L41" s="40">
        <f>L8/L43</f>
        <v>8.1382528880171084E-2</v>
      </c>
    </row>
    <row r="42" spans="1:12" x14ac:dyDescent="0.15">
      <c r="A42" s="13"/>
      <c r="B42" s="10" t="s">
        <v>136</v>
      </c>
      <c r="D42" s="38">
        <f>D9/D43</f>
        <v>0.13042735745527342</v>
      </c>
      <c r="E42" s="39"/>
      <c r="F42" s="38">
        <f>F9/F43</f>
        <v>0.12901154032388229</v>
      </c>
      <c r="G42" s="39"/>
      <c r="H42" s="38">
        <f>H9/H43</f>
        <v>0.13871083185728458</v>
      </c>
      <c r="I42" s="39"/>
      <c r="J42" s="38">
        <f>J9/J43</f>
        <v>0.11446445019005719</v>
      </c>
      <c r="K42" s="39"/>
      <c r="L42" s="40">
        <f>L9/L43</f>
        <v>7.6959180330046451E-2</v>
      </c>
    </row>
    <row r="43" spans="1:12" ht="14" thickBot="1" x14ac:dyDescent="0.2">
      <c r="A43" s="16" t="str">
        <f>A10</f>
        <v>SUBTOTAL - Total Product Sales</v>
      </c>
      <c r="B43" s="15"/>
      <c r="C43" s="15"/>
      <c r="D43" s="34">
        <f>D10</f>
        <v>316199</v>
      </c>
      <c r="E43" s="41"/>
      <c r="F43" s="34">
        <f>F10</f>
        <v>297392</v>
      </c>
      <c r="G43" s="41"/>
      <c r="H43" s="34">
        <f>H10</f>
        <v>220747</v>
      </c>
      <c r="I43" s="41"/>
      <c r="J43" s="34">
        <f>J10</f>
        <v>213883</v>
      </c>
      <c r="K43" s="41"/>
      <c r="L43" s="42">
        <f>L10</f>
        <v>225847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Base 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10-K 2022, 09.24.2022-2022-10-27-08-59</dc:title>
  <dc:creator>anonymous</dc:creator>
  <cp:lastModifiedBy>shreya Punj</cp:lastModifiedBy>
  <dcterms:created xsi:type="dcterms:W3CDTF">2023-05-11T12:29:37Z</dcterms:created>
  <dcterms:modified xsi:type="dcterms:W3CDTF">2025-12-10T21:02:34Z</dcterms:modified>
</cp:coreProperties>
</file>