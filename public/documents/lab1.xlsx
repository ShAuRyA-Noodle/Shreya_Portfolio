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eyapunj/Desktop/"/>
    </mc:Choice>
  </mc:AlternateContent>
  <xr:revisionPtr revIDLastSave="0" documentId="8_{88FA06E9-9EFF-C746-8870-9A2D232B0BCC}" xr6:coauthVersionLast="47" xr6:coauthVersionMax="47" xr10:uidLastSave="{00000000-0000-0000-0000-000000000000}"/>
  <bookViews>
    <workbookView xWindow="0" yWindow="500" windowWidth="28800" windowHeight="16020" xr2:uid="{1218345E-4440-2C44-B374-285C5A0FA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D22" i="1"/>
  <c r="E22" i="1" s="1"/>
  <c r="D6" i="1"/>
  <c r="D8" i="1" s="1"/>
  <c r="D14" i="1" s="1"/>
  <c r="E20" i="1" s="1"/>
  <c r="E24" i="1" l="1"/>
  <c r="F24" i="1" s="1"/>
  <c r="E17" i="1"/>
  <c r="F22" i="1" s="1"/>
  <c r="F18" i="1" l="1"/>
  <c r="F17" i="1"/>
  <c r="F19" i="1"/>
  <c r="F21" i="1"/>
  <c r="F25" i="1"/>
  <c r="F23" i="1"/>
  <c r="E26" i="1"/>
  <c r="F26" i="1" s="1"/>
  <c r="F20" i="1"/>
  <c r="E27" i="1" l="1"/>
  <c r="F27" i="1" s="1"/>
</calcChain>
</file>

<file path=xl/sharedStrings.xml><?xml version="1.0" encoding="utf-8"?>
<sst xmlns="http://schemas.openxmlformats.org/spreadsheetml/2006/main" count="20" uniqueCount="19">
  <si>
    <t xml:space="preserve">Market Size </t>
  </si>
  <si>
    <t>Number of households</t>
  </si>
  <si>
    <t>Addressable Market - Rate</t>
  </si>
  <si>
    <t>Addressable Market - # of households</t>
  </si>
  <si>
    <t xml:space="preserve">Repurchase Rate </t>
  </si>
  <si>
    <t xml:space="preserve">Market Share </t>
  </si>
  <si>
    <t>Unit Market share - Rate</t>
  </si>
  <si>
    <t>Market Size - #units</t>
  </si>
  <si>
    <t>Expected Sales Units- unit Maket Share - # of units</t>
  </si>
  <si>
    <t xml:space="preserve">Average Sale Price </t>
  </si>
  <si>
    <t xml:space="preserve">Our Sales Expectation </t>
  </si>
  <si>
    <t>Variable Cost Of Production</t>
  </si>
  <si>
    <t>Variable Marketing and Selling</t>
  </si>
  <si>
    <t>Variable Packaging Cost</t>
  </si>
  <si>
    <t xml:space="preserve">Variable Cost - TOTAL </t>
  </si>
  <si>
    <t>Gross Margin</t>
  </si>
  <si>
    <t>YEAR 1</t>
  </si>
  <si>
    <t xml:space="preserve">COMMON SIZE 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</si>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</sst>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4" fontId="0" fillId="2" borderId="0" xfId="0" applyNumberFormat="1" applyFill="1"/>
    <xf numFmtId="10" fontId="0" fillId="0" borderId="0" xfId="0" applyNumberFormat="1"/>
    <xf numFmtId="10" fontId="0" fillId="2" borderId="0" xfId="0" applyNumberFormat="1" applyFill="1"/>
    <xf numFmtId="0" fontId="0" fillId="2" borderId="0" xfId="0" applyFill="1"/>
    <xf numFmtId="8" fontId="0" fillId="0" borderId="0" xfId="0" applyNumberFormat="1"/>
    <xf numFmtId="8" fontId="0" fillId="2" borderId="0" xfId="0" applyNumberFormat="1" applyFill="1"/>
    <xf numFmtId="9" fontId="0" fillId="2" borderId="0" xfId="0" applyNumberFormat="1" applyFill="1"/>
    <xf numFmtId="0" fontId="1" fillId="0" borderId="0" xfId="0" applyFont="1"/>
    <xf numFmtId="8" fontId="1" fillId="0" borderId="0" xfId="0" applyNumberFormat="1" applyFont="1"/>
    <xf numFmtId="0" fontId="0" fillId="0" borderId="1" xfId="0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52AC-7F6C-9341-9577-95FCAF7E83B2}">
  <dimension ref="A1:H27"/>
  <sheetViews>
    <sheetView tabSelected="1" zoomScale="111" zoomScaleNormal="170" workbookViewId="0">
      <selection activeCell="G30" sqref="G30"/>
    </sheetView>
  </sheetViews>
  <sheetFormatPr baseColWidth="10" defaultRowHeight="16" x14ac:dyDescent="0.2"/>
  <cols>
    <col min="2" max="2" width="17.6640625" bestFit="1" customWidth="1"/>
    <col min="3" max="3" width="32.6640625" bestFit="1" customWidth="1"/>
    <col min="4" max="4" width="19.6640625" bestFit="1" customWidth="1"/>
    <col min="5" max="5" width="15.6640625" bestFit="1" customWidth="1"/>
    <col min="6" max="6" width="13.5" bestFit="1" customWidth="1"/>
    <col min="8" max="8" width="20.6640625" customWidth="1"/>
  </cols>
  <sheetData>
    <row r="1" spans="1:8" x14ac:dyDescent="0.2">
      <c r="D1" t="s">
        <v>16</v>
      </c>
      <c r="F1" t="s">
        <v>16</v>
      </c>
      <c r="H1" t="s">
        <v>18</v>
      </c>
    </row>
    <row r="2" spans="1:8" x14ac:dyDescent="0.2">
      <c r="D2">
        <v>2024</v>
      </c>
      <c r="F2">
        <v>2024</v>
      </c>
      <c r="H2">
        <v>2025</v>
      </c>
    </row>
    <row r="3" spans="1:8" x14ac:dyDescent="0.2">
      <c r="A3" t="s">
        <v>0</v>
      </c>
      <c r="F3" t="s">
        <v>17</v>
      </c>
    </row>
    <row r="4" spans="1:8" x14ac:dyDescent="0.2">
      <c r="C4" t="s">
        <v>1</v>
      </c>
      <c r="D4" s="2">
        <v>13500000</v>
      </c>
      <c r="G4" s="4">
        <v>5.0000000000000001E-3</v>
      </c>
      <c r="H4" s="1">
        <f>(1+G4)*D4</f>
        <v>13567499.999999998</v>
      </c>
    </row>
    <row r="5" spans="1:8" x14ac:dyDescent="0.2">
      <c r="C5" t="s">
        <v>2</v>
      </c>
      <c r="D5" s="4">
        <v>0.08</v>
      </c>
    </row>
    <row r="6" spans="1:8" x14ac:dyDescent="0.2">
      <c r="C6" t="s">
        <v>3</v>
      </c>
      <c r="D6" s="1">
        <f>D4*D5</f>
        <v>1080000</v>
      </c>
    </row>
    <row r="7" spans="1:8" x14ac:dyDescent="0.2">
      <c r="C7" t="s">
        <v>4</v>
      </c>
      <c r="D7" s="5">
        <v>24</v>
      </c>
    </row>
    <row r="8" spans="1:8" x14ac:dyDescent="0.2">
      <c r="A8" t="s">
        <v>7</v>
      </c>
      <c r="D8" s="1">
        <f>D7*D6</f>
        <v>25920000</v>
      </c>
    </row>
    <row r="10" spans="1:8" x14ac:dyDescent="0.2">
      <c r="A10" t="s">
        <v>5</v>
      </c>
    </row>
    <row r="11" spans="1:8" x14ac:dyDescent="0.2">
      <c r="C11" t="s">
        <v>6</v>
      </c>
      <c r="D11" s="4">
        <v>0.125</v>
      </c>
    </row>
    <row r="12" spans="1:8" x14ac:dyDescent="0.2">
      <c r="D12" s="1"/>
    </row>
    <row r="14" spans="1:8" x14ac:dyDescent="0.2">
      <c r="A14" t="s">
        <v>8</v>
      </c>
      <c r="D14" s="1">
        <f>D11*D8</f>
        <v>3240000</v>
      </c>
    </row>
    <row r="15" spans="1:8" x14ac:dyDescent="0.2">
      <c r="C15" t="s">
        <v>9</v>
      </c>
      <c r="D15" s="7">
        <v>20</v>
      </c>
    </row>
    <row r="17" spans="1:6" x14ac:dyDescent="0.2">
      <c r="D17" t="s">
        <v>10</v>
      </c>
      <c r="E17" s="6">
        <f>D15*D14</f>
        <v>64800000</v>
      </c>
      <c r="F17" s="3">
        <f>E17/$E$17</f>
        <v>1</v>
      </c>
    </row>
    <row r="18" spans="1:6" x14ac:dyDescent="0.2">
      <c r="F18" s="3">
        <f t="shared" ref="F18:F27" si="0">E18/$E$17</f>
        <v>0</v>
      </c>
    </row>
    <row r="19" spans="1:6" x14ac:dyDescent="0.2">
      <c r="C19" t="s">
        <v>11</v>
      </c>
      <c r="D19" s="7">
        <v>12.5</v>
      </c>
      <c r="F19" s="3">
        <f t="shared" si="0"/>
        <v>0</v>
      </c>
    </row>
    <row r="20" spans="1:6" x14ac:dyDescent="0.2">
      <c r="E20" s="6">
        <f>D19*D14</f>
        <v>40500000</v>
      </c>
      <c r="F20" s="3">
        <f t="shared" si="0"/>
        <v>0.625</v>
      </c>
    </row>
    <row r="21" spans="1:6" x14ac:dyDescent="0.2">
      <c r="C21" t="s">
        <v>12</v>
      </c>
      <c r="D21" s="8">
        <v>0.05</v>
      </c>
      <c r="F21" s="3">
        <f t="shared" si="0"/>
        <v>0</v>
      </c>
    </row>
    <row r="22" spans="1:6" x14ac:dyDescent="0.2">
      <c r="D22" s="6">
        <f>D21*D15</f>
        <v>1</v>
      </c>
      <c r="E22" s="6">
        <f>D22*D14</f>
        <v>3240000</v>
      </c>
      <c r="F22" s="3">
        <f t="shared" si="0"/>
        <v>0.05</v>
      </c>
    </row>
    <row r="23" spans="1:6" x14ac:dyDescent="0.2">
      <c r="C23" t="s">
        <v>13</v>
      </c>
      <c r="D23" s="7">
        <v>1.85</v>
      </c>
      <c r="F23" s="3">
        <f t="shared" si="0"/>
        <v>0</v>
      </c>
    </row>
    <row r="24" spans="1:6" x14ac:dyDescent="0.2">
      <c r="E24" s="6">
        <f>D23*D14</f>
        <v>5994000</v>
      </c>
      <c r="F24" s="3">
        <f t="shared" si="0"/>
        <v>9.2499999999999999E-2</v>
      </c>
    </row>
    <row r="25" spans="1:6" x14ac:dyDescent="0.2">
      <c r="F25" s="3">
        <f t="shared" si="0"/>
        <v>0</v>
      </c>
    </row>
    <row r="26" spans="1:6" ht="17" thickBot="1" x14ac:dyDescent="0.25">
      <c r="A26" s="11" t="s">
        <v>14</v>
      </c>
      <c r="B26" s="11"/>
      <c r="C26" s="11"/>
      <c r="D26" s="11"/>
      <c r="E26" s="12">
        <f>SUM(E20:E24)</f>
        <v>49734000</v>
      </c>
      <c r="F26" s="3">
        <f t="shared" si="0"/>
        <v>0.76749999999999996</v>
      </c>
    </row>
    <row r="27" spans="1:6" ht="17" thickTop="1" x14ac:dyDescent="0.2">
      <c r="A27" s="9" t="s">
        <v>15</v>
      </c>
      <c r="B27" s="9"/>
      <c r="C27" s="9"/>
      <c r="D27" s="9"/>
      <c r="E27" s="10">
        <f>E17-E26</f>
        <v>15066000</v>
      </c>
      <c r="F27" s="3">
        <f t="shared" si="0"/>
        <v>0.23250000000000001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shreya Punj</cp:lastModifiedBy>
  <dcterms:created xsi:type="dcterms:W3CDTF">2023-05-19T17:19:59Z</dcterms:created>
  <dcterms:modified xsi:type="dcterms:W3CDTF">2025-12-10T20:59:53Z</dcterms:modified>
</cp:coreProperties>
</file>