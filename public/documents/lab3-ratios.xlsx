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shreyapunj/Desktop/"/>
    </mc:Choice>
  </mc:AlternateContent>
  <xr:revisionPtr revIDLastSave="0" documentId="8_{35315A00-6DB2-2643-9960-3A08AA2CB0E2}" xr6:coauthVersionLast="47" xr6:coauthVersionMax="47" xr10:uidLastSave="{00000000-0000-0000-0000-000000000000}"/>
  <bookViews>
    <workbookView xWindow="0" yWindow="500" windowWidth="28800" windowHeight="16020" activeTab="1" xr2:uid="{6239C93D-2B66-4616-9C9F-F08A1C4A018F}"/>
  </bookViews>
  <sheets>
    <sheet name="Instructions" sheetId="2" r:id="rId1"/>
    <sheet name="Oswald's Historical 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57" i="1" l="1"/>
  <c r="D157" i="1"/>
  <c r="E157" i="1"/>
  <c r="F157" i="1"/>
  <c r="C158" i="1"/>
  <c r="D158" i="1"/>
  <c r="E158" i="1"/>
  <c r="F158" i="1"/>
  <c r="B158" i="1"/>
  <c r="B157" i="1"/>
  <c r="C108" i="1"/>
  <c r="D108" i="1"/>
  <c r="E108" i="1"/>
  <c r="F108" i="1"/>
  <c r="C109" i="1"/>
  <c r="D109" i="1"/>
  <c r="E109" i="1"/>
  <c r="F109" i="1"/>
  <c r="B109" i="1"/>
  <c r="B108" i="1"/>
  <c r="C103" i="1"/>
  <c r="D103" i="1"/>
  <c r="E103" i="1"/>
  <c r="F103" i="1"/>
  <c r="B103" i="1"/>
  <c r="C88" i="1" l="1"/>
  <c r="D88" i="1"/>
  <c r="E88" i="1"/>
  <c r="F88" i="1"/>
  <c r="C89" i="1"/>
  <c r="D89" i="1"/>
  <c r="E89" i="1"/>
  <c r="F89" i="1"/>
  <c r="B89" i="1"/>
  <c r="B88" i="1"/>
  <c r="D83" i="1"/>
  <c r="E83" i="1"/>
  <c r="F83" i="1"/>
  <c r="D84" i="1"/>
  <c r="E84" i="1"/>
  <c r="F84" i="1"/>
  <c r="D85" i="1"/>
  <c r="E85" i="1"/>
  <c r="F85" i="1"/>
  <c r="D86" i="1"/>
  <c r="E86" i="1"/>
  <c r="F86" i="1"/>
  <c r="C85" i="1"/>
  <c r="C86" i="1"/>
  <c r="C84" i="1"/>
  <c r="C83" i="1"/>
  <c r="D79" i="1"/>
  <c r="E79" i="1"/>
  <c r="F79" i="1"/>
  <c r="C79" i="1"/>
  <c r="C80" i="1"/>
  <c r="D80" i="1"/>
  <c r="E80" i="1"/>
  <c r="F80" i="1"/>
  <c r="B80" i="1"/>
  <c r="S67" i="1"/>
  <c r="T67" i="1"/>
  <c r="U67" i="1"/>
  <c r="V67" i="1"/>
  <c r="R67" i="1"/>
  <c r="S63" i="1"/>
  <c r="T63" i="1"/>
  <c r="U63" i="1"/>
  <c r="V63" i="1"/>
  <c r="S64" i="1"/>
  <c r="T64" i="1"/>
  <c r="U64" i="1"/>
  <c r="V64" i="1"/>
  <c r="S65" i="1"/>
  <c r="T65" i="1"/>
  <c r="U65" i="1"/>
  <c r="V65" i="1"/>
  <c r="R65" i="1"/>
  <c r="R64" i="1"/>
  <c r="R63" i="1"/>
  <c r="S57" i="1"/>
  <c r="T57" i="1"/>
  <c r="U57" i="1"/>
  <c r="V57" i="1"/>
  <c r="S58" i="1"/>
  <c r="T58" i="1"/>
  <c r="U58" i="1"/>
  <c r="V58" i="1"/>
  <c r="S59" i="1"/>
  <c r="T59" i="1"/>
  <c r="U59" i="1"/>
  <c r="V59" i="1"/>
  <c r="S60" i="1"/>
  <c r="T60" i="1"/>
  <c r="U60" i="1"/>
  <c r="V60" i="1"/>
  <c r="S61" i="1"/>
  <c r="T61" i="1"/>
  <c r="U61" i="1"/>
  <c r="V61" i="1"/>
  <c r="R59" i="1"/>
  <c r="R60" i="1"/>
  <c r="R61" i="1"/>
  <c r="R58" i="1"/>
  <c r="R57" i="1"/>
  <c r="S49" i="1"/>
  <c r="T49" i="1"/>
  <c r="U49" i="1"/>
  <c r="V49" i="1"/>
  <c r="S50" i="1"/>
  <c r="T50" i="1"/>
  <c r="U50" i="1"/>
  <c r="V50" i="1"/>
  <c r="S51" i="1"/>
  <c r="T51" i="1"/>
  <c r="U51" i="1"/>
  <c r="V51" i="1"/>
  <c r="S52" i="1"/>
  <c r="T52" i="1"/>
  <c r="U52" i="1"/>
  <c r="V52" i="1"/>
  <c r="S53" i="1"/>
  <c r="T53" i="1"/>
  <c r="U53" i="1"/>
  <c r="V53" i="1"/>
  <c r="S54" i="1"/>
  <c r="T54" i="1"/>
  <c r="U54" i="1"/>
  <c r="V54" i="1"/>
  <c r="S55" i="1"/>
  <c r="T55" i="1"/>
  <c r="U55" i="1"/>
  <c r="V55" i="1"/>
  <c r="R51" i="1"/>
  <c r="R52" i="1"/>
  <c r="R53" i="1"/>
  <c r="R54" i="1"/>
  <c r="R55" i="1"/>
  <c r="R50" i="1"/>
  <c r="R49" i="1"/>
  <c r="S42" i="1"/>
  <c r="T42" i="1"/>
  <c r="U42" i="1"/>
  <c r="V42" i="1"/>
  <c r="S40" i="1"/>
  <c r="T40" i="1"/>
  <c r="U40" i="1"/>
  <c r="V40" i="1"/>
  <c r="S38" i="1"/>
  <c r="T38" i="1"/>
  <c r="U38" i="1"/>
  <c r="V38" i="1"/>
  <c r="S36" i="1"/>
  <c r="T36" i="1"/>
  <c r="U36" i="1"/>
  <c r="V36" i="1"/>
  <c r="R42" i="1"/>
  <c r="R40" i="1"/>
  <c r="R38" i="1"/>
  <c r="R36" i="1"/>
  <c r="S34" i="1"/>
  <c r="T34" i="1"/>
  <c r="U34" i="1"/>
  <c r="V34" i="1"/>
  <c r="R34" i="1"/>
  <c r="S29" i="1"/>
  <c r="T29" i="1"/>
  <c r="U29" i="1"/>
  <c r="V29" i="1"/>
  <c r="S30" i="1"/>
  <c r="T30" i="1"/>
  <c r="U30" i="1"/>
  <c r="V30" i="1"/>
  <c r="S31" i="1"/>
  <c r="T31" i="1"/>
  <c r="U31" i="1"/>
  <c r="V31" i="1"/>
  <c r="S32" i="1"/>
  <c r="T32" i="1"/>
  <c r="U32" i="1"/>
  <c r="V32" i="1"/>
  <c r="R31" i="1"/>
  <c r="R32" i="1"/>
  <c r="R30" i="1"/>
  <c r="R29" i="1"/>
  <c r="S25" i="1"/>
  <c r="T25" i="1"/>
  <c r="U25" i="1"/>
  <c r="V25" i="1"/>
  <c r="S26" i="1"/>
  <c r="T26" i="1"/>
  <c r="U26" i="1"/>
  <c r="V26" i="1"/>
  <c r="R26" i="1"/>
  <c r="R25" i="1"/>
  <c r="S21" i="1"/>
  <c r="T21" i="1"/>
  <c r="U21" i="1"/>
  <c r="V21" i="1"/>
  <c r="S22" i="1"/>
  <c r="T22" i="1"/>
  <c r="U22" i="1"/>
  <c r="V22" i="1"/>
  <c r="S23" i="1"/>
  <c r="T23" i="1"/>
  <c r="U23" i="1"/>
  <c r="V23" i="1"/>
  <c r="R23" i="1"/>
  <c r="R22" i="1"/>
  <c r="R21" i="1"/>
  <c r="AA42" i="1"/>
  <c r="AB42" i="1"/>
  <c r="AC42" i="1"/>
  <c r="AD42" i="1"/>
  <c r="AA40" i="1"/>
  <c r="AB40" i="1"/>
  <c r="AC40" i="1"/>
  <c r="AD40" i="1"/>
  <c r="AA38" i="1"/>
  <c r="AB38" i="1"/>
  <c r="AC38" i="1"/>
  <c r="AD38" i="1"/>
  <c r="AA36" i="1"/>
  <c r="AB36" i="1"/>
  <c r="AC36" i="1"/>
  <c r="AD36" i="1"/>
  <c r="AA34" i="1"/>
  <c r="AB34" i="1"/>
  <c r="AC34" i="1"/>
  <c r="AD34" i="1"/>
  <c r="Z42" i="1"/>
  <c r="Z40" i="1"/>
  <c r="Z38" i="1"/>
  <c r="Z36" i="1"/>
  <c r="Z34" i="1"/>
  <c r="AA29" i="1"/>
  <c r="AB29" i="1"/>
  <c r="AC29" i="1"/>
  <c r="AD29" i="1"/>
  <c r="AA30" i="1"/>
  <c r="AB30" i="1"/>
  <c r="AC30" i="1"/>
  <c r="AD30" i="1"/>
  <c r="AA31" i="1"/>
  <c r="AB31" i="1"/>
  <c r="AC31" i="1"/>
  <c r="AD31" i="1"/>
  <c r="AA32" i="1"/>
  <c r="AB32" i="1"/>
  <c r="AC32" i="1"/>
  <c r="AD32" i="1"/>
  <c r="Z32" i="1"/>
  <c r="Z31" i="1"/>
  <c r="Z30" i="1"/>
  <c r="Z29" i="1"/>
  <c r="AA25" i="1"/>
  <c r="AB25" i="1"/>
  <c r="AC25" i="1"/>
  <c r="AD25" i="1"/>
  <c r="AA26" i="1"/>
  <c r="AB26" i="1"/>
  <c r="AC26" i="1"/>
  <c r="AD26" i="1"/>
  <c r="Z26" i="1"/>
  <c r="Z25" i="1"/>
  <c r="AA23" i="1"/>
  <c r="AB23" i="1"/>
  <c r="AC23" i="1"/>
  <c r="AD23" i="1"/>
  <c r="Z23" i="1"/>
  <c r="AA21" i="1"/>
  <c r="AB21" i="1"/>
  <c r="AC21" i="1"/>
  <c r="AD21" i="1"/>
  <c r="AA22" i="1"/>
  <c r="AB22" i="1"/>
  <c r="AC22" i="1"/>
  <c r="AD22" i="1"/>
  <c r="AA19" i="1"/>
  <c r="AB19" i="1"/>
  <c r="AC19" i="1"/>
  <c r="AD19" i="1"/>
  <c r="Z22" i="1"/>
  <c r="Z21" i="1"/>
  <c r="C156" i="1"/>
  <c r="D156" i="1"/>
  <c r="E156" i="1"/>
  <c r="F156" i="1"/>
  <c r="B156" i="1"/>
  <c r="C141" i="1"/>
  <c r="E141" i="1"/>
  <c r="E140" i="1"/>
  <c r="F140" i="1"/>
  <c r="B140" i="1"/>
  <c r="C136" i="1"/>
  <c r="C140" i="1" s="1"/>
  <c r="D136" i="1"/>
  <c r="D140" i="1" s="1"/>
  <c r="E136" i="1"/>
  <c r="F136" i="1"/>
  <c r="F141" i="1" s="1"/>
  <c r="B136" i="1"/>
  <c r="B141" i="1" s="1"/>
  <c r="C135" i="1"/>
  <c r="D135" i="1"/>
  <c r="D139" i="1" s="1"/>
  <c r="E135" i="1"/>
  <c r="E139" i="1" s="1"/>
  <c r="F135" i="1"/>
  <c r="F139" i="1" s="1"/>
  <c r="B135" i="1"/>
  <c r="B139" i="1" s="1"/>
  <c r="C92" i="1"/>
  <c r="D92" i="1"/>
  <c r="E92" i="1"/>
  <c r="F92" i="1"/>
  <c r="B92" i="1"/>
  <c r="C91" i="1"/>
  <c r="D91" i="1"/>
  <c r="E91" i="1"/>
  <c r="F91" i="1"/>
  <c r="B91" i="1"/>
  <c r="D62" i="1"/>
  <c r="C139" i="1" l="1"/>
  <c r="D141" i="1"/>
  <c r="N73" i="1"/>
  <c r="N72" i="1"/>
  <c r="N71" i="1"/>
  <c r="N70" i="1"/>
  <c r="B65" i="1"/>
  <c r="N63" i="1"/>
  <c r="F61" i="1"/>
  <c r="E61" i="1"/>
  <c r="D61" i="1"/>
  <c r="C61" i="1"/>
  <c r="B61" i="1"/>
  <c r="N60" i="1"/>
  <c r="N59" i="1"/>
  <c r="N58" i="1"/>
  <c r="N57" i="1"/>
  <c r="B55" i="1"/>
  <c r="B54" i="1"/>
  <c r="C53" i="1"/>
  <c r="C52" i="1"/>
  <c r="N51" i="1"/>
  <c r="N50" i="1"/>
  <c r="N49" i="1"/>
  <c r="N36" i="1"/>
  <c r="F32" i="1"/>
  <c r="E32" i="1"/>
  <c r="D32" i="1"/>
  <c r="C32" i="1"/>
  <c r="B32" i="1"/>
  <c r="N31" i="1"/>
  <c r="N30" i="1"/>
  <c r="N29" i="1"/>
  <c r="F25" i="1"/>
  <c r="E25" i="1"/>
  <c r="D25" i="1"/>
  <c r="C25" i="1"/>
  <c r="B25" i="1"/>
  <c r="N23" i="1"/>
  <c r="N22" i="1"/>
  <c r="N21" i="1"/>
  <c r="N19" i="1"/>
  <c r="AD11" i="1"/>
  <c r="AC11" i="1"/>
  <c r="AB11" i="1"/>
  <c r="AA11" i="1"/>
  <c r="Z11" i="1"/>
  <c r="Z19" i="1" s="1"/>
  <c r="N11" i="1"/>
  <c r="N10" i="1"/>
  <c r="N9" i="1"/>
  <c r="N8" i="1"/>
  <c r="N7" i="1"/>
  <c r="V2" i="1"/>
  <c r="AD2" i="1" s="1"/>
  <c r="U2" i="1"/>
  <c r="AC2" i="1" s="1"/>
  <c r="T2" i="1"/>
  <c r="AB2" i="1" s="1"/>
  <c r="S2" i="1"/>
  <c r="AA2" i="1" s="1"/>
  <c r="R2" i="1"/>
  <c r="Z2" i="1" s="1"/>
  <c r="L2" i="1"/>
  <c r="K2" i="1"/>
  <c r="J2" i="1"/>
  <c r="I2" i="1"/>
  <c r="B160" i="1" l="1"/>
  <c r="B161" i="1" s="1"/>
  <c r="B149" i="1"/>
  <c r="B146" i="1"/>
  <c r="B114" i="1"/>
  <c r="B115" i="1" s="1"/>
  <c r="C114" i="1"/>
  <c r="C115" i="1" s="1"/>
  <c r="D52" i="1"/>
  <c r="B144" i="1"/>
  <c r="D26" i="1"/>
  <c r="D114" i="1"/>
  <c r="D115" i="1" s="1"/>
  <c r="D53" i="1"/>
  <c r="E114" i="1"/>
  <c r="E115" i="1" s="1"/>
  <c r="F114" i="1"/>
  <c r="F115" i="1" s="1"/>
  <c r="C26" i="1"/>
  <c r="B26" i="1"/>
  <c r="C54" i="1"/>
  <c r="E52" i="1"/>
  <c r="D55" i="1"/>
  <c r="D54" i="1"/>
  <c r="D34" i="1"/>
  <c r="F26" i="1"/>
  <c r="N25" i="1"/>
  <c r="N61" i="1"/>
  <c r="E26" i="1"/>
  <c r="N32" i="1"/>
  <c r="C55" i="1"/>
  <c r="C144" i="1" s="1"/>
  <c r="B67" i="1"/>
  <c r="D102" i="1" l="1"/>
  <c r="E53" i="1"/>
  <c r="E55" i="1" s="1"/>
  <c r="D144" i="1"/>
  <c r="B34" i="1"/>
  <c r="C34" i="1"/>
  <c r="C38" i="1" s="1"/>
  <c r="F52" i="1"/>
  <c r="F34" i="1"/>
  <c r="N26" i="1"/>
  <c r="D38" i="1"/>
  <c r="E34" i="1"/>
  <c r="B38" i="1"/>
  <c r="E144" i="1" l="1"/>
  <c r="N34" i="1"/>
  <c r="F102" i="1"/>
  <c r="E54" i="1"/>
  <c r="F53" i="1"/>
  <c r="B102" i="1"/>
  <c r="E102" i="1"/>
  <c r="C102" i="1"/>
  <c r="D104" i="1"/>
  <c r="D150" i="1"/>
  <c r="B40" i="1"/>
  <c r="E38" i="1"/>
  <c r="C40" i="1"/>
  <c r="D40" i="1"/>
  <c r="F38" i="1"/>
  <c r="N52" i="1"/>
  <c r="F55" i="1"/>
  <c r="F144" i="1" l="1"/>
  <c r="N38" i="1"/>
  <c r="C104" i="1"/>
  <c r="C150" i="1"/>
  <c r="B104" i="1"/>
  <c r="B150" i="1"/>
  <c r="D42" i="1"/>
  <c r="N53" i="1"/>
  <c r="E150" i="1"/>
  <c r="E104" i="1"/>
  <c r="B42" i="1"/>
  <c r="F54" i="1"/>
  <c r="F104" i="1"/>
  <c r="F150" i="1"/>
  <c r="E40" i="1"/>
  <c r="N40" i="1"/>
  <c r="F40" i="1"/>
  <c r="C42" i="1"/>
  <c r="N55" i="1"/>
  <c r="B153" i="1" l="1"/>
  <c r="B154" i="1" s="1"/>
  <c r="C153" i="1"/>
  <c r="C154" i="1" s="1"/>
  <c r="N54" i="1"/>
  <c r="D153" i="1"/>
  <c r="D154" i="1" s="1"/>
  <c r="F42" i="1"/>
  <c r="C64" i="1"/>
  <c r="E42" i="1"/>
  <c r="F153" i="1" l="1"/>
  <c r="F154" i="1" s="1"/>
  <c r="E153" i="1"/>
  <c r="E154" i="1" s="1"/>
  <c r="D64" i="1"/>
  <c r="C65" i="1"/>
  <c r="N42" i="1"/>
  <c r="C146" i="1" l="1"/>
  <c r="C149" i="1"/>
  <c r="C160" i="1"/>
  <c r="C161" i="1" s="1"/>
  <c r="C67" i="1"/>
  <c r="D65" i="1"/>
  <c r="E64" i="1"/>
  <c r="D146" i="1" l="1"/>
  <c r="D149" i="1"/>
  <c r="D160" i="1"/>
  <c r="D161" i="1" s="1"/>
  <c r="D67" i="1"/>
  <c r="E65" i="1"/>
  <c r="F64" i="1"/>
  <c r="E149" i="1" l="1"/>
  <c r="E146" i="1"/>
  <c r="F65" i="1"/>
  <c r="N64" i="1"/>
  <c r="E160" i="1"/>
  <c r="E161" i="1" s="1"/>
  <c r="E67" i="1"/>
  <c r="F149" i="1" l="1"/>
  <c r="F146" i="1"/>
  <c r="F160" i="1"/>
  <c r="F161" i="1" s="1"/>
  <c r="N65" i="1"/>
  <c r="F67" i="1"/>
  <c r="N6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Duncan Reith</author>
  </authors>
  <commentList>
    <comment ref="N1" authorId="0" shapeId="0" xr:uid="{6DA06EA3-2729-4595-91EA-A77B96403664}">
      <text>
        <r>
          <rPr>
            <b/>
            <sz val="9"/>
            <color indexed="81"/>
            <rFont val="Tahoma"/>
            <family val="2"/>
          </rPr>
          <t>Compounded annual growth rate 2011 to 2015</t>
        </r>
      </text>
    </comment>
  </commentList>
</comments>
</file>

<file path=xl/sharedStrings.xml><?xml version="1.0" encoding="utf-8"?>
<sst xmlns="http://schemas.openxmlformats.org/spreadsheetml/2006/main" count="137" uniqueCount="128">
  <si>
    <t>Oswald Cobblepot's Impossibilities</t>
  </si>
  <si>
    <t>O/O Change Analysis</t>
  </si>
  <si>
    <t>CAGR Analysis</t>
  </si>
  <si>
    <t>Common Size: % of Sales, % of Total Assets</t>
  </si>
  <si>
    <t>Per Unit Analysis</t>
  </si>
  <si>
    <t>O/O</t>
  </si>
  <si>
    <t>$</t>
  </si>
  <si>
    <t>Market Dynamics</t>
  </si>
  <si>
    <t>Number of Households Purchasing</t>
  </si>
  <si>
    <t>Market Size - # Cases (Standard Units)</t>
  </si>
  <si>
    <t>Oswald's Impossibilites - # Cases (Standard Units)</t>
  </si>
  <si>
    <t>Income Statement</t>
  </si>
  <si>
    <t>% of Sales Analysis</t>
  </si>
  <si>
    <t>Sales</t>
  </si>
  <si>
    <t>Direct Product Costs</t>
  </si>
  <si>
    <t>Broker Commissions</t>
  </si>
  <si>
    <t xml:space="preserve">Packaging </t>
  </si>
  <si>
    <t>Cost of Goods Sold</t>
  </si>
  <si>
    <t>Gross Margin</t>
  </si>
  <si>
    <t>Fixed Expenses</t>
  </si>
  <si>
    <t>Marketing</t>
  </si>
  <si>
    <t>Selling, General &amp; Admin Expenses</t>
  </si>
  <si>
    <t>Depreciation</t>
  </si>
  <si>
    <t>Total Fixed Expenses</t>
  </si>
  <si>
    <t>Operating Income (EBIT)</t>
  </si>
  <si>
    <t>Interest Expense</t>
  </si>
  <si>
    <t>Net Income Before Tax</t>
  </si>
  <si>
    <t>Income Taxes</t>
  </si>
  <si>
    <t>Net Income</t>
  </si>
  <si>
    <t>Oswald's Impossibilities</t>
  </si>
  <si>
    <t>Balance Sheet</t>
  </si>
  <si>
    <t>% of Assets Analysis</t>
  </si>
  <si>
    <t>Cash</t>
  </si>
  <si>
    <t>Accounts Receivable</t>
  </si>
  <si>
    <t>Inventory</t>
  </si>
  <si>
    <t>Fixed Assets</t>
  </si>
  <si>
    <t xml:space="preserve">     Accumulated Depreciation</t>
  </si>
  <si>
    <t>Net Fixed Assets</t>
  </si>
  <si>
    <t>Total Assets</t>
  </si>
  <si>
    <t>Accounts Payable</t>
  </si>
  <si>
    <t>Deferred Revenue</t>
  </si>
  <si>
    <t>Accrued Expenses</t>
  </si>
  <si>
    <t>Long Term Debt</t>
  </si>
  <si>
    <t>Total Liabilities</t>
  </si>
  <si>
    <t>Common Stock</t>
  </si>
  <si>
    <t>Retained Earnings</t>
  </si>
  <si>
    <t>Total Shareholder's Equity</t>
  </si>
  <si>
    <t>Total Liabilities and Shareholders' Equity</t>
  </si>
  <si>
    <t>Note:</t>
  </si>
  <si>
    <t>Capital Expenditures</t>
  </si>
  <si>
    <t>Number of Shares (in thousands)</t>
  </si>
  <si>
    <t>Dividend Per Share</t>
  </si>
  <si>
    <t>Share Price</t>
  </si>
  <si>
    <t>Oswald's Impossibilities - Business &amp; Financial Statement Analysis</t>
  </si>
  <si>
    <t>Market Dynamics Analysis</t>
  </si>
  <si>
    <t>Oswald's Impossibilities - Dollar Market Share</t>
  </si>
  <si>
    <t>Oswald's Impossibilities - Unit Market Share</t>
  </si>
  <si>
    <t>Market - Average Price Per Case</t>
  </si>
  <si>
    <t>Oswald's Impossibilities - Average Price Per Case</t>
  </si>
  <si>
    <t>Profitability Sustainability Ratios</t>
  </si>
  <si>
    <t>Gross Margin % of Sales</t>
  </si>
  <si>
    <t>Operating Profit (EBIT)</t>
  </si>
  <si>
    <t>Operating Profit (EBIT) %</t>
  </si>
  <si>
    <t>EBITDA $</t>
  </si>
  <si>
    <t>EBITDA per Unit</t>
  </si>
  <si>
    <t>Net Profit (Net Income) %</t>
  </si>
  <si>
    <t>Return On Assets %</t>
  </si>
  <si>
    <t>Return on Equity %</t>
  </si>
  <si>
    <t>Operational Efficiency Ratios</t>
  </si>
  <si>
    <t>Inventory Turnover</t>
  </si>
  <si>
    <t>Days in Inventory</t>
  </si>
  <si>
    <t>Average Receivables Collection Period
(assume all sales are on credit)</t>
  </si>
  <si>
    <t>Accounts Receivable Turnover</t>
  </si>
  <si>
    <t>Accounts Payable Turnover</t>
  </si>
  <si>
    <t>Accounts Payable Days Outstanding</t>
  </si>
  <si>
    <t>Free Cash Flow</t>
  </si>
  <si>
    <t>Liquidity Ratios</t>
  </si>
  <si>
    <t>Current Assets</t>
  </si>
  <si>
    <t>Current Liabilities</t>
  </si>
  <si>
    <t>Quick Asset Ratio</t>
  </si>
  <si>
    <t>Cash Ratio</t>
  </si>
  <si>
    <t>Leverage Ratios</t>
  </si>
  <si>
    <t>Valuation Ratios</t>
  </si>
  <si>
    <t>Earnings per Share</t>
  </si>
  <si>
    <t>Dividend Payout Ratio</t>
  </si>
  <si>
    <t>Dividend Yield (Per Share)</t>
  </si>
  <si>
    <t>Book Value / Share</t>
  </si>
  <si>
    <t>Share Price / Book Value Ratio</t>
  </si>
  <si>
    <t xml:space="preserve">Debt Ratio - LT Debt Only </t>
  </si>
  <si>
    <t>Debt Ratio - Total Liabilities</t>
  </si>
  <si>
    <t xml:space="preserve">Debt to Equity Ratio - LT Debt Only </t>
  </si>
  <si>
    <t>Debt to Equity Ratio - Total Liabilities</t>
  </si>
  <si>
    <t>Average Receivables Collection Period
(assume all sales are on credit) - With Average</t>
  </si>
  <si>
    <t>Accounts Receivable Turnover - With Average</t>
  </si>
  <si>
    <t>Inventory Turnover - With Average</t>
  </si>
  <si>
    <t>Days in Inventory - With Average</t>
  </si>
  <si>
    <t>Fixed Asset Turnover - With average</t>
  </si>
  <si>
    <t>Asset Turnover - With average</t>
  </si>
  <si>
    <t>Operating Expense % of Sales - Fixed costs</t>
  </si>
  <si>
    <t>Lab 3 - Ratio Analysis</t>
  </si>
  <si>
    <t>Households - Total Population</t>
  </si>
  <si>
    <t>Units Per Household - Adressable market vs. total units</t>
  </si>
  <si>
    <t>EBITDA % of sales</t>
  </si>
  <si>
    <t>Fixed Asset Turnover Ratio</t>
  </si>
  <si>
    <t xml:space="preserve">Working Capital </t>
  </si>
  <si>
    <t>Dividend payout - Total Dollars</t>
  </si>
  <si>
    <t>Growth Rate - Households - Total Population</t>
  </si>
  <si>
    <t>Household Penetration Rate</t>
  </si>
  <si>
    <t>Market Size - Total Dollars</t>
  </si>
  <si>
    <t>Growth Rate - Market Size - Total Dollars</t>
  </si>
  <si>
    <t>Growth Rate - Market Size - # Cases (Standard Units)</t>
  </si>
  <si>
    <t xml:space="preserve">Growth Rate - Total Dollars - Oswald's Impossibilities </t>
  </si>
  <si>
    <t xml:space="preserve">Growth Rate - # of units - Oswald's Impossibilities </t>
  </si>
  <si>
    <t>Total Asset Turnover Ratio</t>
  </si>
  <si>
    <t>Interest Coverage Ratio (EBIT/Interest)</t>
  </si>
  <si>
    <t>Interest Coverage Ratio (EBITDA/Interest)</t>
  </si>
  <si>
    <t>Price-to-Earnings Ratio</t>
  </si>
  <si>
    <t>Current Asset Ratio</t>
  </si>
  <si>
    <t xml:space="preserve"> </t>
  </si>
  <si>
    <t>Hello friends,</t>
  </si>
  <si>
    <t xml:space="preserve">Your completed Excel sheet need not be uploaded with your submission. Your results are to be entered into Blackboard directly as prompted. Please visit the link ‘Lab 3 (2.5%) - Ratio Analysis’ within the ‘Assignments’ tab. This exercise need not be completed in one sitting and there is no time limit set. </t>
  </si>
  <si>
    <t>We will have time set aside in class to work on this assignment as a group. However, I highly recommend that get started ASAP and bring to class any questions that may arise for you.</t>
  </si>
  <si>
    <t>As normally in this course, aside from discussions in class, this assignment is to be completed independently and collaboration of any sort with your classmates is prohibited. Late submissions will not be accepted.</t>
  </si>
  <si>
    <t>As discussed in class, turnover ratios, such as inventory turnover, accounts receivable turnover etc. need not utilize 2-year averages in your denominator.</t>
  </si>
  <si>
    <t>All numerical answers in your submission must be accurate to 2 decimal places and should include the numerical values only, without symbols or commas etc. For example:</t>
  </si>
  <si>
    <t>$5.36 would be 5.36</t>
  </si>
  <si>
    <t>11.55% would be 11.55</t>
  </si>
  <si>
    <t>Please find herewith a base spreadsheet with input data for our Lab 3 exercise. For your reference, each cell that requires your attention has been highlighted in 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</si>
</sst>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quot;$&quot;* #,##0.00_-;_-&quot;$&quot;* &quot;-&quot;??_-;_-@_-"/>
    <numFmt numFmtId="165" formatCode="_-* #,##0.00_-;\-* #,##0.00_-;_-* &quot;-&quot;??_-;_-@_-"/>
    <numFmt numFmtId="166" formatCode="0.0%"/>
    <numFmt numFmtId="167" formatCode="0.0"/>
    <numFmt numFmtId="168" formatCode="&quot;$&quot;#,##0"/>
    <numFmt numFmtId="169" formatCode="&quot;$&quot;#,##0.00"/>
    <numFmt numFmtId="170" formatCode="&quot;$&quot;#,##0.0"/>
    <numFmt numFmtId="171" formatCode="#,##0.0"/>
    <numFmt numFmtId="172" formatCode="&quot;$&quot;#,##0.000"/>
  </numFmts>
  <fonts count="11" x14ac:knownFonts="1">
    <font>
      <sz val="11"/>
      <color theme="1"/>
      <name val="Calibri"/>
      <family val="2"/>
      <scheme val="minor"/>
    </font>
    <font>
      <sz val="11"/>
      <color theme="1"/>
      <name val="Calibri"/>
      <family val="2"/>
      <scheme val="minor"/>
    </font>
    <font>
      <b/>
      <sz val="18"/>
      <color theme="1"/>
      <name val="Calibri"/>
      <family val="2"/>
      <scheme val="minor"/>
    </font>
    <font>
      <sz val="14"/>
      <color theme="1"/>
      <name val="Calibri"/>
      <family val="2"/>
      <scheme val="minor"/>
    </font>
    <font>
      <b/>
      <sz val="16"/>
      <color theme="1"/>
      <name val="Calibri"/>
      <family val="2"/>
      <scheme val="minor"/>
    </font>
    <font>
      <b/>
      <sz val="36"/>
      <color theme="1"/>
      <name val="Calibri"/>
      <family val="2"/>
      <scheme val="minor"/>
    </font>
    <font>
      <u/>
      <sz val="14"/>
      <color theme="1"/>
      <name val="Calibri"/>
      <family val="2"/>
      <scheme val="minor"/>
    </font>
    <font>
      <sz val="12"/>
      <color theme="1"/>
      <name val="Calibri"/>
      <family val="2"/>
    </font>
    <font>
      <b/>
      <sz val="14"/>
      <color theme="1"/>
      <name val="Calibri"/>
      <family val="2"/>
      <scheme val="minor"/>
    </font>
    <font>
      <b/>
      <sz val="9"/>
      <color indexed="81"/>
      <name val="Tahoma"/>
      <family val="2"/>
    </font>
    <font>
      <sz val="12"/>
      <color theme="1"/>
      <name val="Times New Roman"/>
      <family val="1"/>
    </font>
  </fonts>
  <fills count="6">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rgb="FF92D050"/>
        <bgColor indexed="64"/>
      </patternFill>
    </fill>
    <fill>
      <patternFill patternType="solid">
        <fgColor theme="1"/>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165" fontId="1" fillId="0" borderId="0" applyFont="0" applyFill="0" applyBorder="0" applyAlignment="0" applyProtection="0"/>
    <xf numFmtId="9" fontId="1" fillId="0" borderId="0" applyFont="0" applyFill="0" applyBorder="0" applyAlignment="0" applyProtection="0"/>
    <xf numFmtId="164" fontId="7" fillId="0" borderId="0" applyFont="0" applyFill="0" applyBorder="0" applyAlignment="0" applyProtection="0"/>
  </cellStyleXfs>
  <cellXfs count="112">
    <xf numFmtId="0" fontId="0" fillId="0" borderId="0" xfId="0"/>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0" borderId="3" xfId="0" applyFont="1" applyBorder="1" applyAlignment="1">
      <alignment horizontal="center" vertical="center" wrapText="1"/>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4" fillId="0" borderId="6" xfId="0" applyFont="1" applyBorder="1" applyAlignment="1">
      <alignment horizontal="center" vertical="center" wrapText="1"/>
    </xf>
    <xf numFmtId="0" fontId="3" fillId="0" borderId="6"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3" fillId="0" borderId="0" xfId="0" applyFont="1" applyAlignment="1">
      <alignment horizontal="left" vertical="center"/>
    </xf>
    <xf numFmtId="0" fontId="4" fillId="3" borderId="8" xfId="0" applyFont="1" applyFill="1" applyBorder="1" applyAlignment="1">
      <alignment horizontal="center" vertical="center"/>
    </xf>
    <xf numFmtId="3" fontId="3" fillId="0" borderId="0" xfId="0" applyNumberFormat="1" applyFont="1" applyAlignment="1">
      <alignment horizontal="left" vertical="center"/>
    </xf>
    <xf numFmtId="3" fontId="3" fillId="0" borderId="0" xfId="0" applyNumberFormat="1" applyFont="1" applyAlignment="1">
      <alignment horizontal="center" vertical="center"/>
    </xf>
    <xf numFmtId="3" fontId="3" fillId="0" borderId="5" xfId="0" applyNumberFormat="1" applyFont="1" applyBorder="1" applyAlignment="1">
      <alignment horizontal="center" vertical="center"/>
    </xf>
    <xf numFmtId="166" fontId="3" fillId="2" borderId="8" xfId="2" applyNumberFormat="1" applyFont="1" applyFill="1" applyBorder="1" applyAlignment="1">
      <alignment horizontal="center" vertical="center"/>
    </xf>
    <xf numFmtId="10" fontId="3" fillId="2" borderId="8" xfId="2" applyNumberFormat="1" applyFont="1" applyFill="1" applyBorder="1" applyAlignment="1">
      <alignment horizontal="center" vertical="center"/>
    </xf>
    <xf numFmtId="166" fontId="3" fillId="0" borderId="6" xfId="2" applyNumberFormat="1" applyFont="1" applyFill="1" applyBorder="1" applyAlignment="1">
      <alignment horizontal="center" vertical="center"/>
    </xf>
    <xf numFmtId="166" fontId="3" fillId="0" borderId="0" xfId="2" applyNumberFormat="1" applyFont="1" applyFill="1" applyBorder="1" applyAlignment="1">
      <alignment horizontal="center" vertical="center"/>
    </xf>
    <xf numFmtId="3" fontId="3" fillId="0" borderId="6" xfId="0" applyNumberFormat="1" applyFont="1" applyBorder="1" applyAlignment="1">
      <alignment horizontal="center" vertical="center"/>
    </xf>
    <xf numFmtId="167" fontId="3" fillId="0" borderId="0" xfId="0" applyNumberFormat="1" applyFont="1" applyAlignment="1">
      <alignment horizontal="center" vertical="center"/>
    </xf>
    <xf numFmtId="168" fontId="3" fillId="0" borderId="0" xfId="0" applyNumberFormat="1" applyFont="1" applyAlignment="1">
      <alignment horizontal="center" vertical="center"/>
    </xf>
    <xf numFmtId="169" fontId="3" fillId="0" borderId="0" xfId="3" applyNumberFormat="1" applyFont="1" applyFill="1" applyBorder="1" applyAlignment="1">
      <alignment horizontal="center" vertical="center"/>
    </xf>
    <xf numFmtId="0" fontId="3" fillId="0" borderId="0" xfId="0" applyFont="1" applyAlignment="1">
      <alignment horizontal="left" vertical="center" wrapText="1"/>
    </xf>
    <xf numFmtId="10" fontId="3" fillId="0" borderId="0" xfId="2" applyNumberFormat="1" applyFont="1" applyFill="1" applyBorder="1" applyAlignment="1">
      <alignment horizontal="center" vertical="center"/>
    </xf>
    <xf numFmtId="167" fontId="8" fillId="0" borderId="0" xfId="0" applyNumberFormat="1" applyFont="1" applyAlignment="1">
      <alignment horizontal="center" vertical="center"/>
    </xf>
    <xf numFmtId="168" fontId="6" fillId="0" borderId="0" xfId="0" applyNumberFormat="1" applyFont="1" applyAlignment="1">
      <alignment horizontal="center" vertical="center"/>
    </xf>
    <xf numFmtId="168" fontId="6" fillId="0" borderId="6" xfId="0" applyNumberFormat="1" applyFont="1" applyBorder="1" applyAlignment="1">
      <alignment horizontal="center" vertical="center"/>
    </xf>
    <xf numFmtId="0" fontId="4" fillId="0" borderId="0" xfId="0" applyFont="1" applyAlignment="1">
      <alignment horizontal="center" vertical="center"/>
    </xf>
    <xf numFmtId="0" fontId="8" fillId="0" borderId="0" xfId="0" applyFont="1" applyAlignment="1">
      <alignment horizontal="center" vertical="center"/>
    </xf>
    <xf numFmtId="168" fontId="3" fillId="0" borderId="0" xfId="0" applyNumberFormat="1" applyFont="1" applyAlignment="1">
      <alignment horizontal="left" vertical="center"/>
    </xf>
    <xf numFmtId="168" fontId="3" fillId="0" borderId="0" xfId="0" applyNumberFormat="1" applyFont="1" applyAlignment="1">
      <alignment horizontal="left" vertical="center" indent="2"/>
    </xf>
    <xf numFmtId="168" fontId="3" fillId="0" borderId="6" xfId="0" applyNumberFormat="1" applyFont="1" applyBorder="1" applyAlignment="1">
      <alignment horizontal="left" vertical="center" indent="2"/>
    </xf>
    <xf numFmtId="169" fontId="6" fillId="0" borderId="0" xfId="0" applyNumberFormat="1" applyFont="1" applyAlignment="1">
      <alignment horizontal="center" vertical="center"/>
    </xf>
    <xf numFmtId="168" fontId="8" fillId="0" borderId="0" xfId="0" applyNumberFormat="1" applyFont="1" applyAlignment="1">
      <alignment horizontal="left" vertical="center"/>
    </xf>
    <xf numFmtId="168" fontId="8" fillId="0" borderId="0" xfId="0" applyNumberFormat="1" applyFont="1" applyAlignment="1">
      <alignment horizontal="center" vertical="center"/>
    </xf>
    <xf numFmtId="169" fontId="3" fillId="0" borderId="0" xfId="0" applyNumberFormat="1" applyFont="1" applyAlignment="1">
      <alignment horizontal="center" vertical="center"/>
    </xf>
    <xf numFmtId="166" fontId="3" fillId="2" borderId="0" xfId="2" applyNumberFormat="1" applyFont="1" applyFill="1" applyBorder="1" applyAlignment="1">
      <alignment horizontal="center" vertical="center"/>
    </xf>
    <xf numFmtId="168" fontId="3" fillId="0" borderId="6" xfId="0" applyNumberFormat="1" applyFont="1" applyBorder="1" applyAlignment="1">
      <alignment horizontal="center" vertical="center"/>
    </xf>
    <xf numFmtId="10" fontId="3" fillId="0" borderId="0" xfId="0" applyNumberFormat="1" applyFont="1" applyAlignment="1">
      <alignment horizontal="center" vertical="center"/>
    </xf>
    <xf numFmtId="10" fontId="6" fillId="0" borderId="0" xfId="0" applyNumberFormat="1" applyFont="1" applyAlignment="1">
      <alignment horizontal="center" vertical="center"/>
    </xf>
    <xf numFmtId="168" fontId="8" fillId="0" borderId="0" xfId="2" applyNumberFormat="1" applyFont="1" applyFill="1" applyAlignment="1">
      <alignment horizontal="center" vertical="center"/>
    </xf>
    <xf numFmtId="168" fontId="3" fillId="0" borderId="0" xfId="1" applyNumberFormat="1" applyFont="1" applyFill="1" applyAlignment="1">
      <alignment horizontal="center" vertical="center"/>
    </xf>
    <xf numFmtId="168" fontId="3" fillId="0" borderId="0" xfId="1" applyNumberFormat="1" applyFont="1" applyFill="1" applyBorder="1" applyAlignment="1">
      <alignment horizontal="center" vertical="center"/>
    </xf>
    <xf numFmtId="168" fontId="3" fillId="0" borderId="6" xfId="1" applyNumberFormat="1" applyFont="1" applyFill="1" applyBorder="1" applyAlignment="1">
      <alignment horizontal="center" vertical="center"/>
    </xf>
    <xf numFmtId="0" fontId="6" fillId="0" borderId="12" xfId="0" applyFont="1" applyBorder="1" applyAlignment="1">
      <alignment horizontal="center" vertical="center"/>
    </xf>
    <xf numFmtId="169" fontId="3" fillId="0" borderId="13" xfId="0" applyNumberFormat="1" applyFont="1" applyBorder="1" applyAlignment="1">
      <alignment horizontal="center" vertical="center"/>
    </xf>
    <xf numFmtId="0" fontId="6" fillId="0" borderId="14" xfId="0" applyFont="1" applyBorder="1" applyAlignment="1">
      <alignment horizontal="center" vertical="center"/>
    </xf>
    <xf numFmtId="168" fontId="8" fillId="0" borderId="6" xfId="0" applyNumberFormat="1" applyFont="1" applyBorder="1" applyAlignment="1">
      <alignment horizontal="center" vertical="center"/>
    </xf>
    <xf numFmtId="10" fontId="3" fillId="0" borderId="0" xfId="2" applyNumberFormat="1" applyFont="1" applyFill="1" applyAlignment="1">
      <alignment horizontal="center" vertical="center"/>
    </xf>
    <xf numFmtId="168" fontId="6" fillId="0" borderId="5" xfId="0" applyNumberFormat="1" applyFont="1" applyBorder="1" applyAlignment="1">
      <alignment horizontal="center" vertical="center"/>
    </xf>
    <xf numFmtId="168" fontId="3" fillId="0" borderId="0" xfId="2" applyNumberFormat="1" applyFont="1" applyFill="1" applyAlignment="1">
      <alignment horizontal="center" vertical="center"/>
    </xf>
    <xf numFmtId="168" fontId="3" fillId="0" borderId="5" xfId="2" applyNumberFormat="1" applyFont="1" applyFill="1" applyBorder="1" applyAlignment="1">
      <alignment horizontal="center" vertical="center"/>
    </xf>
    <xf numFmtId="168" fontId="3" fillId="0" borderId="0" xfId="2" applyNumberFormat="1" applyFont="1" applyFill="1" applyBorder="1" applyAlignment="1">
      <alignment horizontal="center" vertical="center"/>
    </xf>
    <xf numFmtId="168" fontId="3" fillId="0" borderId="6" xfId="2" applyNumberFormat="1" applyFont="1" applyFill="1" applyBorder="1" applyAlignment="1">
      <alignment horizontal="center" vertical="center"/>
    </xf>
    <xf numFmtId="168" fontId="3" fillId="0" borderId="5" xfId="0" applyNumberFormat="1" applyFont="1" applyBorder="1" applyAlignment="1">
      <alignment horizontal="center" vertical="center"/>
    </xf>
    <xf numFmtId="170" fontId="3" fillId="0" borderId="0" xfId="0" applyNumberFormat="1" applyFont="1" applyAlignment="1">
      <alignment horizontal="center" vertical="center"/>
    </xf>
    <xf numFmtId="171" fontId="3" fillId="0" borderId="0" xfId="0" applyNumberFormat="1" applyFont="1" applyAlignment="1">
      <alignment horizontal="center" vertical="center"/>
    </xf>
    <xf numFmtId="166" fontId="3" fillId="0" borderId="0" xfId="2" applyNumberFormat="1" applyFont="1" applyFill="1" applyAlignment="1">
      <alignment horizontal="center" vertical="center"/>
    </xf>
    <xf numFmtId="0" fontId="8" fillId="0" borderId="0" xfId="0" applyFont="1" applyAlignment="1">
      <alignment horizontal="left" vertical="center"/>
    </xf>
    <xf numFmtId="168" fontId="3" fillId="0" borderId="5" xfId="1" applyNumberFormat="1" applyFont="1" applyFill="1" applyBorder="1" applyAlignment="1">
      <alignment horizontal="center" vertical="center"/>
    </xf>
    <xf numFmtId="165" fontId="3" fillId="0" borderId="0" xfId="1" applyFont="1" applyFill="1" applyAlignment="1">
      <alignment horizontal="center" vertical="center"/>
    </xf>
    <xf numFmtId="168" fontId="3" fillId="0" borderId="12" xfId="0" applyNumberFormat="1" applyFont="1" applyBorder="1" applyAlignment="1">
      <alignment horizontal="center" vertical="center"/>
    </xf>
    <xf numFmtId="168" fontId="3" fillId="0" borderId="13" xfId="0" applyNumberFormat="1" applyFont="1" applyBorder="1" applyAlignment="1">
      <alignment horizontal="center" vertical="center"/>
    </xf>
    <xf numFmtId="168" fontId="3" fillId="0" borderId="14" xfId="0" applyNumberFormat="1" applyFont="1" applyBorder="1" applyAlignment="1">
      <alignment horizontal="center" vertical="center"/>
    </xf>
    <xf numFmtId="0" fontId="2" fillId="0" borderId="0" xfId="0" applyFont="1" applyAlignment="1">
      <alignment horizontal="center" vertical="center" wrapText="1"/>
    </xf>
    <xf numFmtId="171" fontId="8" fillId="0" borderId="0" xfId="1" applyNumberFormat="1" applyFont="1" applyFill="1" applyAlignment="1">
      <alignment horizontal="center" vertical="center"/>
    </xf>
    <xf numFmtId="169" fontId="8" fillId="0" borderId="0" xfId="0" applyNumberFormat="1" applyFont="1" applyAlignment="1">
      <alignment horizontal="center" vertical="center"/>
    </xf>
    <xf numFmtId="9" fontId="3" fillId="0" borderId="0" xfId="2" applyFont="1" applyFill="1" applyBorder="1" applyAlignment="1">
      <alignment horizontal="center" vertical="center"/>
    </xf>
    <xf numFmtId="2" fontId="3" fillId="2" borderId="8" xfId="0" applyNumberFormat="1" applyFont="1" applyFill="1" applyBorder="1" applyAlignment="1">
      <alignment horizontal="center" vertical="center"/>
    </xf>
    <xf numFmtId="0" fontId="3" fillId="4" borderId="0" xfId="0" applyFont="1" applyFill="1" applyAlignment="1">
      <alignment horizontal="left" vertical="center"/>
    </xf>
    <xf numFmtId="2" fontId="3" fillId="4" borderId="0" xfId="0" applyNumberFormat="1" applyFont="1" applyFill="1" applyAlignment="1">
      <alignment horizontal="center" vertical="center"/>
    </xf>
    <xf numFmtId="168" fontId="3" fillId="2" borderId="8" xfId="0" applyNumberFormat="1" applyFont="1" applyFill="1" applyBorder="1" applyAlignment="1">
      <alignment horizontal="center" vertical="center"/>
    </xf>
    <xf numFmtId="169" fontId="3" fillId="2" borderId="8" xfId="0" applyNumberFormat="1" applyFont="1" applyFill="1" applyBorder="1" applyAlignment="1">
      <alignment horizontal="center" vertical="center"/>
    </xf>
    <xf numFmtId="2" fontId="3" fillId="0" borderId="0" xfId="0" applyNumberFormat="1" applyFont="1" applyAlignment="1">
      <alignment horizontal="center" vertical="center"/>
    </xf>
    <xf numFmtId="4" fontId="3" fillId="2" borderId="8" xfId="0" applyNumberFormat="1" applyFont="1" applyFill="1" applyBorder="1" applyAlignment="1">
      <alignment horizontal="center" vertical="center"/>
    </xf>
    <xf numFmtId="4" fontId="3" fillId="0" borderId="0" xfId="0" applyNumberFormat="1" applyFont="1" applyAlignment="1">
      <alignment horizontal="center" vertical="center"/>
    </xf>
    <xf numFmtId="2" fontId="3" fillId="4" borderId="8" xfId="0" applyNumberFormat="1" applyFont="1" applyFill="1" applyBorder="1" applyAlignment="1">
      <alignment horizontal="center" vertical="center"/>
    </xf>
    <xf numFmtId="1" fontId="3" fillId="0" borderId="0" xfId="3" applyNumberFormat="1" applyFont="1" applyFill="1" applyBorder="1" applyAlignment="1">
      <alignment horizontal="center" vertical="center"/>
    </xf>
    <xf numFmtId="2" fontId="3" fillId="0" borderId="8" xfId="0" applyNumberFormat="1" applyFont="1" applyBorder="1" applyAlignment="1">
      <alignment horizontal="center" vertical="center"/>
    </xf>
    <xf numFmtId="2" fontId="3" fillId="0" borderId="15" xfId="0" applyNumberFormat="1" applyFont="1" applyBorder="1" applyAlignment="1">
      <alignment horizontal="center" vertical="center"/>
    </xf>
    <xf numFmtId="2" fontId="3" fillId="2" borderId="15" xfId="0" applyNumberFormat="1" applyFont="1" applyFill="1" applyBorder="1" applyAlignment="1">
      <alignment horizontal="center" vertical="center"/>
    </xf>
    <xf numFmtId="167" fontId="3" fillId="0" borderId="15" xfId="0" applyNumberFormat="1" applyFont="1" applyBorder="1" applyAlignment="1">
      <alignment horizontal="center" vertical="center"/>
    </xf>
    <xf numFmtId="167" fontId="3" fillId="2" borderId="15" xfId="0" applyNumberFormat="1" applyFont="1" applyFill="1" applyBorder="1" applyAlignment="1">
      <alignment horizontal="center" vertical="center"/>
    </xf>
    <xf numFmtId="10" fontId="3" fillId="2" borderId="15" xfId="2" applyNumberFormat="1" applyFont="1" applyFill="1" applyBorder="1" applyAlignment="1">
      <alignment horizontal="center" vertical="center"/>
    </xf>
    <xf numFmtId="172" fontId="3" fillId="0" borderId="0" xfId="0" applyNumberFormat="1" applyFont="1" applyAlignment="1">
      <alignment horizontal="left" vertical="center"/>
    </xf>
    <xf numFmtId="0" fontId="10" fillId="0" borderId="0" xfId="0" applyFont="1" applyAlignment="1">
      <alignment vertical="center"/>
    </xf>
    <xf numFmtId="0" fontId="10" fillId="0" borderId="0" xfId="0" applyFont="1" applyAlignment="1">
      <alignment horizontal="left" vertical="center" indent="1"/>
    </xf>
    <xf numFmtId="0" fontId="3" fillId="2" borderId="8" xfId="2" applyNumberFormat="1" applyFont="1" applyFill="1" applyBorder="1" applyAlignment="1">
      <alignment horizontal="center" vertical="center"/>
    </xf>
    <xf numFmtId="2" fontId="3" fillId="2" borderId="8" xfId="2" applyNumberFormat="1" applyFont="1" applyFill="1" applyBorder="1" applyAlignment="1">
      <alignment horizontal="center" vertical="center"/>
    </xf>
    <xf numFmtId="2" fontId="6" fillId="0" borderId="0" xfId="0" applyNumberFormat="1" applyFont="1" applyAlignment="1">
      <alignment horizontal="center" vertical="center"/>
    </xf>
    <xf numFmtId="0" fontId="3" fillId="5" borderId="0" xfId="0" applyFont="1" applyFill="1" applyAlignment="1">
      <alignment horizontal="center" vertical="center"/>
    </xf>
    <xf numFmtId="0" fontId="3" fillId="2" borderId="4" xfId="2" applyNumberFormat="1" applyFont="1" applyFill="1" applyBorder="1" applyAlignment="1">
      <alignment horizontal="center" vertical="center"/>
    </xf>
    <xf numFmtId="0" fontId="3" fillId="2" borderId="8" xfId="0" applyFont="1" applyFill="1" applyBorder="1" applyAlignment="1">
      <alignment horizontal="center" vertical="center"/>
    </xf>
    <xf numFmtId="0" fontId="3" fillId="0" borderId="0" xfId="2" applyNumberFormat="1" applyFont="1" applyFill="1" applyBorder="1" applyAlignment="1">
      <alignment horizontal="center" vertical="center"/>
    </xf>
    <xf numFmtId="2" fontId="3" fillId="2" borderId="4" xfId="2" applyNumberFormat="1" applyFont="1" applyFill="1" applyBorder="1" applyAlignment="1">
      <alignment horizontal="center" vertical="center"/>
    </xf>
    <xf numFmtId="0" fontId="3" fillId="2" borderId="8" xfId="3" applyNumberFormat="1" applyFont="1" applyFill="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0" xfId="0" applyFont="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2" fillId="0" borderId="2" xfId="0" applyFont="1" applyBorder="1" applyAlignment="1">
      <alignment horizontal="center" vertical="center"/>
    </xf>
    <xf numFmtId="0" fontId="5" fillId="2" borderId="4" xfId="0" applyFont="1" applyFill="1" applyBorder="1" applyAlignment="1">
      <alignment horizontal="center" vertical="center"/>
    </xf>
    <xf numFmtId="0" fontId="5" fillId="2" borderId="7" xfId="0" applyFont="1" applyFill="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cellXfs>
  <cellStyles count="4">
    <cellStyle name="Comma" xfId="1" builtinId="3"/>
    <cellStyle name="Currency 2" xfId="3" xr:uid="{8399905C-5056-4105-B462-457B6810692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DC003-E6B8-4D51-9F15-C63796AFFBDD}">
  <dimension ref="A4:A12"/>
  <sheetViews>
    <sheetView workbookViewId="0">
      <selection activeCell="A7" sqref="A7"/>
    </sheetView>
  </sheetViews>
  <sheetFormatPr baseColWidth="10" defaultColWidth="8.83203125" defaultRowHeight="15" x14ac:dyDescent="0.2"/>
  <sheetData>
    <row r="4" spans="1:1" ht="16" x14ac:dyDescent="0.2">
      <c r="A4" s="88" t="s">
        <v>119</v>
      </c>
    </row>
    <row r="5" spans="1:1" ht="16" x14ac:dyDescent="0.2">
      <c r="A5" s="88" t="s">
        <v>127</v>
      </c>
    </row>
    <row r="6" spans="1:1" ht="16" x14ac:dyDescent="0.2">
      <c r="A6" s="88" t="s">
        <v>120</v>
      </c>
    </row>
    <row r="7" spans="1:1" ht="16" x14ac:dyDescent="0.2">
      <c r="A7" s="88" t="s">
        <v>121</v>
      </c>
    </row>
    <row r="8" spans="1:1" ht="16" x14ac:dyDescent="0.2">
      <c r="A8" s="88" t="s">
        <v>122</v>
      </c>
    </row>
    <row r="9" spans="1:1" ht="16" x14ac:dyDescent="0.2">
      <c r="A9" s="88" t="s">
        <v>123</v>
      </c>
    </row>
    <row r="10" spans="1:1" ht="16" x14ac:dyDescent="0.2">
      <c r="A10" s="88" t="s">
        <v>124</v>
      </c>
    </row>
    <row r="11" spans="1:1" ht="16" x14ac:dyDescent="0.2">
      <c r="A11" s="89" t="s">
        <v>125</v>
      </c>
    </row>
    <row r="12" spans="1:1" ht="16" x14ac:dyDescent="0.2">
      <c r="A12" s="89"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43D27-6B85-4C11-AB4A-929DF76E3569}">
  <sheetPr>
    <pageSetUpPr fitToPage="1"/>
  </sheetPr>
  <dimension ref="A1:AK214"/>
  <sheetViews>
    <sheetView tabSelected="1" zoomScale="75" zoomScaleNormal="55" workbookViewId="0">
      <selection activeCell="B153" sqref="B153:F153"/>
    </sheetView>
  </sheetViews>
  <sheetFormatPr baseColWidth="10" defaultColWidth="8.83203125" defaultRowHeight="19" x14ac:dyDescent="0.2"/>
  <cols>
    <col min="1" max="1" width="65.1640625" style="12" customWidth="1"/>
    <col min="2" max="5" width="14.6640625" style="1" bestFit="1" customWidth="1"/>
    <col min="6" max="6" width="14.33203125" style="1" bestFit="1" customWidth="1"/>
    <col min="7" max="8" width="3.5" style="1" customWidth="1"/>
    <col min="9" max="12" width="11.5" style="1" hidden="1" customWidth="1"/>
    <col min="13" max="13" width="3.5" style="1" hidden="1" customWidth="1"/>
    <col min="14" max="14" width="13.83203125" style="1" hidden="1" customWidth="1"/>
    <col min="15" max="16" width="3.5" style="1" hidden="1" customWidth="1"/>
    <col min="17" max="17" width="3.5" style="1" customWidth="1"/>
    <col min="18" max="22" width="11.5" style="1" customWidth="1"/>
    <col min="23" max="25" width="3.5" style="1" customWidth="1"/>
    <col min="26" max="30" width="11.5" style="1" customWidth="1"/>
    <col min="31" max="31" width="2.83203125" style="1" customWidth="1"/>
    <col min="32" max="32" width="3.5" style="1" customWidth="1"/>
    <col min="33" max="36" width="11.5" style="1" customWidth="1"/>
    <col min="37" max="37" width="3.1640625" style="1" customWidth="1"/>
    <col min="38" max="16384" width="8.83203125" style="1"/>
  </cols>
  <sheetData>
    <row r="1" spans="1:36" ht="18.75" customHeight="1" thickBot="1" x14ac:dyDescent="0.25">
      <c r="A1" s="102" t="s">
        <v>0</v>
      </c>
      <c r="B1" s="102"/>
      <c r="C1" s="102"/>
      <c r="D1" s="102"/>
      <c r="E1" s="102"/>
      <c r="F1" s="102"/>
      <c r="G1" s="1">
        <v>0.87</v>
      </c>
      <c r="H1" s="2"/>
      <c r="I1" s="103" t="s">
        <v>1</v>
      </c>
      <c r="J1" s="103"/>
      <c r="K1" s="103"/>
      <c r="L1" s="103"/>
      <c r="M1" s="3"/>
      <c r="N1" s="104" t="s">
        <v>2</v>
      </c>
      <c r="O1" s="4"/>
      <c r="Q1" s="2"/>
      <c r="R1" s="106" t="s">
        <v>3</v>
      </c>
      <c r="S1" s="106"/>
      <c r="T1" s="106"/>
      <c r="U1" s="106"/>
      <c r="V1" s="106"/>
      <c r="W1" s="5"/>
      <c r="Y1" s="2"/>
      <c r="Z1" s="106" t="s">
        <v>4</v>
      </c>
      <c r="AA1" s="106"/>
      <c r="AB1" s="106"/>
      <c r="AC1" s="106"/>
      <c r="AD1" s="106"/>
      <c r="AE1" s="5"/>
    </row>
    <row r="2" spans="1:36" ht="21" x14ac:dyDescent="0.2">
      <c r="A2" s="107" t="s">
        <v>99</v>
      </c>
      <c r="B2" s="1">
        <v>2011</v>
      </c>
      <c r="C2" s="1">
        <v>2012</v>
      </c>
      <c r="D2" s="1">
        <v>2013</v>
      </c>
      <c r="E2" s="1">
        <v>2014</v>
      </c>
      <c r="F2" s="1">
        <v>2015</v>
      </c>
      <c r="H2" s="6"/>
      <c r="I2" s="1">
        <f>+C2</f>
        <v>2012</v>
      </c>
      <c r="J2" s="1">
        <f t="shared" ref="J2:L2" si="0">+D2</f>
        <v>2013</v>
      </c>
      <c r="K2" s="1">
        <f t="shared" si="0"/>
        <v>2014</v>
      </c>
      <c r="L2" s="1">
        <f t="shared" si="0"/>
        <v>2015</v>
      </c>
      <c r="N2" s="105"/>
      <c r="O2" s="7"/>
      <c r="Q2" s="6"/>
      <c r="R2" s="1">
        <f>+B2</f>
        <v>2011</v>
      </c>
      <c r="S2" s="1">
        <f t="shared" ref="S2:V2" si="1">+C2</f>
        <v>2012</v>
      </c>
      <c r="T2" s="1">
        <f t="shared" si="1"/>
        <v>2013</v>
      </c>
      <c r="U2" s="1">
        <f t="shared" si="1"/>
        <v>2014</v>
      </c>
      <c r="V2" s="1">
        <f t="shared" si="1"/>
        <v>2015</v>
      </c>
      <c r="W2" s="8"/>
      <c r="Y2" s="6"/>
      <c r="Z2" s="1">
        <f>+R2</f>
        <v>2011</v>
      </c>
      <c r="AA2" s="1">
        <f t="shared" ref="AA2:AD2" si="2">+S2</f>
        <v>2012</v>
      </c>
      <c r="AB2" s="1">
        <f t="shared" si="2"/>
        <v>2013</v>
      </c>
      <c r="AC2" s="1">
        <f t="shared" si="2"/>
        <v>2014</v>
      </c>
      <c r="AD2" s="1">
        <f t="shared" si="2"/>
        <v>2015</v>
      </c>
      <c r="AE2" s="8"/>
    </row>
    <row r="3" spans="1:36" ht="20" thickBot="1" x14ac:dyDescent="0.25">
      <c r="A3" s="108"/>
      <c r="B3" s="9"/>
      <c r="C3" s="9"/>
      <c r="D3" s="9"/>
      <c r="E3" s="9"/>
      <c r="F3" s="9"/>
      <c r="G3" s="9"/>
      <c r="H3" s="10"/>
      <c r="I3" s="9" t="s">
        <v>5</v>
      </c>
      <c r="J3" s="9" t="s">
        <v>5</v>
      </c>
      <c r="K3" s="9" t="s">
        <v>5</v>
      </c>
      <c r="L3" s="9" t="s">
        <v>5</v>
      </c>
      <c r="M3" s="9"/>
      <c r="N3" s="9"/>
      <c r="O3" s="11"/>
      <c r="P3" s="9"/>
      <c r="Q3" s="10"/>
      <c r="R3" s="9"/>
      <c r="S3" s="9"/>
      <c r="T3" s="9"/>
      <c r="U3" s="9"/>
      <c r="V3" s="9"/>
      <c r="W3" s="11"/>
      <c r="X3" s="9"/>
      <c r="Y3" s="10"/>
      <c r="Z3" s="9" t="s">
        <v>6</v>
      </c>
      <c r="AA3" s="9" t="s">
        <v>6</v>
      </c>
      <c r="AB3" s="9" t="s">
        <v>6</v>
      </c>
      <c r="AC3" s="9" t="s">
        <v>6</v>
      </c>
      <c r="AD3" s="9" t="s">
        <v>6</v>
      </c>
      <c r="AE3" s="11"/>
      <c r="AF3" s="9"/>
      <c r="AG3" s="9"/>
      <c r="AH3" s="9"/>
      <c r="AI3" s="9"/>
      <c r="AJ3" s="9"/>
    </row>
    <row r="4" spans="1:36" ht="9" customHeight="1" thickBot="1" x14ac:dyDescent="0.25">
      <c r="B4" s="9"/>
      <c r="C4" s="9"/>
      <c r="D4" s="9"/>
      <c r="E4" s="9"/>
      <c r="F4" s="9"/>
      <c r="G4" s="9"/>
      <c r="H4" s="10"/>
      <c r="I4" s="9"/>
      <c r="J4" s="9"/>
      <c r="K4" s="9"/>
      <c r="L4" s="9"/>
      <c r="M4" s="9"/>
      <c r="N4" s="9"/>
      <c r="O4" s="11"/>
      <c r="P4" s="9"/>
      <c r="Q4" s="10"/>
      <c r="R4" s="9"/>
      <c r="S4" s="9"/>
      <c r="T4" s="9"/>
      <c r="U4" s="9"/>
      <c r="V4" s="9"/>
      <c r="W4" s="11"/>
      <c r="X4" s="9"/>
      <c r="Y4" s="10"/>
      <c r="Z4" s="9"/>
      <c r="AA4" s="9"/>
      <c r="AB4" s="9"/>
      <c r="AC4" s="9"/>
      <c r="AD4" s="9"/>
      <c r="AE4" s="11"/>
      <c r="AF4" s="9"/>
      <c r="AG4" s="9"/>
      <c r="AH4" s="9"/>
      <c r="AI4" s="9"/>
      <c r="AJ4" s="9"/>
    </row>
    <row r="5" spans="1:36" ht="22" thickBot="1" x14ac:dyDescent="0.25">
      <c r="A5" s="13" t="s">
        <v>7</v>
      </c>
      <c r="B5" s="9"/>
      <c r="C5" s="9"/>
      <c r="D5" s="9"/>
      <c r="E5" s="9"/>
      <c r="F5" s="9"/>
      <c r="G5" s="9"/>
      <c r="H5" s="10"/>
      <c r="I5" s="9"/>
      <c r="J5" s="9"/>
      <c r="K5" s="9"/>
      <c r="L5" s="9"/>
      <c r="M5" s="9"/>
      <c r="N5" s="9"/>
      <c r="O5" s="11"/>
      <c r="P5" s="9"/>
      <c r="Q5" s="10"/>
      <c r="R5" s="9"/>
      <c r="S5" s="9"/>
      <c r="T5" s="9"/>
      <c r="U5" s="9"/>
      <c r="V5" s="9"/>
      <c r="W5" s="11"/>
      <c r="X5" s="9"/>
      <c r="Y5" s="10"/>
      <c r="Z5" s="9"/>
      <c r="AA5" s="9"/>
      <c r="AB5" s="9"/>
      <c r="AC5" s="9"/>
      <c r="AD5" s="9"/>
      <c r="AE5" s="11"/>
      <c r="AF5" s="9"/>
      <c r="AG5" s="9"/>
      <c r="AH5" s="9"/>
      <c r="AI5" s="9"/>
      <c r="AJ5" s="9"/>
    </row>
    <row r="6" spans="1:36" ht="9" customHeight="1" thickBot="1" x14ac:dyDescent="0.25">
      <c r="B6" s="9"/>
      <c r="C6" s="9"/>
      <c r="D6" s="9"/>
      <c r="E6" s="9"/>
      <c r="F6" s="9"/>
      <c r="G6" s="9"/>
      <c r="H6" s="10"/>
      <c r="I6" s="9"/>
      <c r="J6" s="9"/>
      <c r="K6" s="9"/>
      <c r="L6" s="9"/>
      <c r="M6" s="9"/>
      <c r="N6" s="9"/>
      <c r="O6" s="11"/>
      <c r="P6" s="9"/>
      <c r="Q6" s="10"/>
      <c r="R6" s="9"/>
      <c r="S6" s="9"/>
      <c r="T6" s="9"/>
      <c r="U6" s="9"/>
      <c r="V6" s="9"/>
      <c r="W6" s="11"/>
      <c r="X6" s="9"/>
      <c r="Y6" s="10"/>
      <c r="Z6" s="9"/>
      <c r="AA6" s="9"/>
      <c r="AB6" s="9"/>
      <c r="AC6" s="9"/>
      <c r="AD6" s="9"/>
      <c r="AE6" s="11"/>
      <c r="AF6" s="9"/>
      <c r="AG6" s="9"/>
      <c r="AH6" s="9"/>
      <c r="AI6" s="9"/>
      <c r="AJ6" s="9"/>
    </row>
    <row r="7" spans="1:36" s="15" customFormat="1" ht="20" thickBot="1" x14ac:dyDescent="0.25">
      <c r="A7" s="14" t="s">
        <v>100</v>
      </c>
      <c r="B7" s="15">
        <v>10440</v>
      </c>
      <c r="C7" s="15">
        <v>10492.199999999999</v>
      </c>
      <c r="D7" s="15">
        <v>10555.153199999999</v>
      </c>
      <c r="E7" s="15">
        <v>10586.818659599998</v>
      </c>
      <c r="F7" s="15">
        <v>10607.992296919199</v>
      </c>
      <c r="H7" s="16"/>
      <c r="I7" s="17"/>
      <c r="J7" s="17"/>
      <c r="K7" s="17"/>
      <c r="L7" s="17"/>
      <c r="N7" s="18">
        <f>RATE(4,0,-B7,F7)</f>
        <v>3.998754978751933E-3</v>
      </c>
      <c r="O7" s="19"/>
      <c r="Q7" s="16"/>
      <c r="S7" s="20"/>
      <c r="T7" s="20"/>
      <c r="U7" s="20"/>
      <c r="V7" s="20"/>
      <c r="W7" s="21"/>
      <c r="Y7" s="16"/>
      <c r="AA7" s="20"/>
      <c r="AB7" s="20"/>
      <c r="AC7" s="20"/>
      <c r="AD7" s="20"/>
      <c r="AE7" s="21"/>
    </row>
    <row r="8" spans="1:36" ht="20" thickBot="1" x14ac:dyDescent="0.25">
      <c r="A8" s="12" t="s">
        <v>8</v>
      </c>
      <c r="B8" s="15">
        <v>4280.3999999999996</v>
      </c>
      <c r="C8" s="15">
        <v>4480.1693999999989</v>
      </c>
      <c r="D8" s="15">
        <v>4591.491641999999</v>
      </c>
      <c r="E8" s="15">
        <v>4753.4815781603993</v>
      </c>
      <c r="F8" s="15">
        <v>4847.8524796920738</v>
      </c>
      <c r="H8" s="6"/>
      <c r="I8" s="17"/>
      <c r="J8" s="17"/>
      <c r="K8" s="17"/>
      <c r="L8" s="17"/>
      <c r="N8" s="18">
        <f t="shared" ref="N8:N10" si="3">RATE(4,0,-B8,F8)</f>
        <v>3.1611702517906813E-2</v>
      </c>
      <c r="O8" s="19"/>
      <c r="Q8" s="6"/>
      <c r="R8" s="20"/>
      <c r="S8" s="20"/>
      <c r="T8" s="20"/>
      <c r="U8" s="20"/>
      <c r="V8" s="20"/>
      <c r="W8" s="8"/>
      <c r="Y8" s="6"/>
      <c r="Z8" s="20"/>
      <c r="AA8" s="20"/>
      <c r="AB8" s="20"/>
      <c r="AC8" s="20"/>
      <c r="AD8" s="20"/>
      <c r="AE8" s="8"/>
    </row>
    <row r="9" spans="1:36" ht="20" thickBot="1" x14ac:dyDescent="0.25">
      <c r="A9" s="12" t="s">
        <v>9</v>
      </c>
      <c r="B9" s="15">
        <v>29320.74</v>
      </c>
      <c r="C9" s="15">
        <v>29031.497711999997</v>
      </c>
      <c r="D9" s="15">
        <v>30166.100087940002</v>
      </c>
      <c r="E9" s="15">
        <v>30089.538389755326</v>
      </c>
      <c r="F9" s="15">
        <v>30105.163898887778</v>
      </c>
      <c r="H9" s="6"/>
      <c r="I9" s="17"/>
      <c r="J9" s="17"/>
      <c r="K9" s="17"/>
      <c r="L9" s="17"/>
      <c r="N9" s="18">
        <f t="shared" si="3"/>
        <v>6.6222305680184524E-3</v>
      </c>
      <c r="O9" s="19"/>
      <c r="Q9" s="6"/>
      <c r="R9" s="22"/>
      <c r="S9" s="22"/>
      <c r="T9" s="22"/>
      <c r="U9" s="22"/>
      <c r="V9" s="22"/>
      <c r="W9" s="8"/>
      <c r="Y9" s="6"/>
      <c r="Z9" s="22"/>
      <c r="AA9" s="22"/>
      <c r="AB9" s="22"/>
      <c r="AC9" s="22"/>
      <c r="AD9" s="22"/>
      <c r="AE9" s="8"/>
    </row>
    <row r="10" spans="1:36" ht="20" thickBot="1" x14ac:dyDescent="0.25">
      <c r="A10" s="12" t="s">
        <v>108</v>
      </c>
      <c r="B10" s="23">
        <v>326046.62880000001</v>
      </c>
      <c r="C10" s="23">
        <v>332991.27875663998</v>
      </c>
      <c r="D10" s="23">
        <v>345100.18500603363</v>
      </c>
      <c r="E10" s="23">
        <v>357162.82068639569</v>
      </c>
      <c r="F10" s="23">
        <v>366379.8446494643</v>
      </c>
      <c r="H10" s="6"/>
      <c r="I10" s="17"/>
      <c r="J10" s="17"/>
      <c r="K10" s="17"/>
      <c r="L10" s="17"/>
      <c r="N10" s="18">
        <f t="shared" si="3"/>
        <v>2.958679769790962E-2</v>
      </c>
      <c r="O10" s="19"/>
      <c r="Q10" s="6"/>
      <c r="R10" s="24"/>
      <c r="S10" s="24"/>
      <c r="T10" s="24"/>
      <c r="U10" s="24"/>
      <c r="V10" s="24"/>
      <c r="W10" s="8"/>
      <c r="Y10" s="6"/>
      <c r="Z10" s="24"/>
      <c r="AA10" s="24"/>
      <c r="AB10" s="24"/>
      <c r="AC10" s="24"/>
      <c r="AD10" s="24"/>
      <c r="AE10" s="8"/>
    </row>
    <row r="11" spans="1:36" ht="21" thickBot="1" x14ac:dyDescent="0.25">
      <c r="A11" s="25" t="s">
        <v>10</v>
      </c>
      <c r="B11" s="15">
        <v>3445.1869499999998</v>
      </c>
      <c r="C11" s="15">
        <v>3417.0072807023998</v>
      </c>
      <c r="D11" s="15">
        <v>3478.1513401394818</v>
      </c>
      <c r="E11" s="15">
        <v>3424.1894687541562</v>
      </c>
      <c r="F11" s="15">
        <v>3413.9255861338743</v>
      </c>
      <c r="H11" s="6"/>
      <c r="I11" s="17"/>
      <c r="J11" s="17"/>
      <c r="K11" s="17"/>
      <c r="L11" s="17"/>
      <c r="N11" s="18">
        <f>RATE(4,0,-B11,F11)</f>
        <v>-2.2762410733882998E-3</v>
      </c>
      <c r="O11" s="19"/>
      <c r="Q11" s="6"/>
      <c r="R11" s="26"/>
      <c r="S11" s="26"/>
      <c r="T11" s="26"/>
      <c r="U11" s="26"/>
      <c r="V11" s="26"/>
      <c r="W11" s="8"/>
      <c r="Y11" s="6"/>
      <c r="Z11" s="27">
        <f>B11</f>
        <v>3445.1869499999998</v>
      </c>
      <c r="AA11" s="27">
        <f t="shared" ref="AA11:AD11" si="4">C11</f>
        <v>3417.0072807023998</v>
      </c>
      <c r="AB11" s="27">
        <f t="shared" si="4"/>
        <v>3478.1513401394818</v>
      </c>
      <c r="AC11" s="27">
        <f t="shared" si="4"/>
        <v>3424.1894687541562</v>
      </c>
      <c r="AD11" s="27">
        <f t="shared" si="4"/>
        <v>3413.9255861338743</v>
      </c>
      <c r="AE11" s="8"/>
    </row>
    <row r="12" spans="1:36" ht="8.25" customHeight="1" thickBot="1" x14ac:dyDescent="0.25">
      <c r="B12" s="28"/>
      <c r="C12" s="28"/>
      <c r="D12" s="28"/>
      <c r="E12" s="28"/>
      <c r="F12" s="28"/>
      <c r="G12" s="9"/>
      <c r="H12" s="10"/>
      <c r="I12" s="9"/>
      <c r="J12" s="9"/>
      <c r="K12" s="9"/>
      <c r="L12" s="9"/>
      <c r="M12" s="9"/>
      <c r="N12" s="9"/>
      <c r="O12" s="11"/>
      <c r="P12" s="9"/>
      <c r="Q12" s="10"/>
      <c r="R12" s="9"/>
      <c r="S12" s="9"/>
      <c r="T12" s="9"/>
      <c r="U12" s="9"/>
      <c r="V12" s="9"/>
      <c r="W12" s="11"/>
      <c r="X12" s="9"/>
      <c r="Y12" s="10"/>
      <c r="Z12" s="9"/>
      <c r="AA12" s="9"/>
      <c r="AB12" s="9"/>
      <c r="AC12" s="9"/>
      <c r="AD12" s="9"/>
      <c r="AE12" s="11"/>
      <c r="AF12" s="9"/>
      <c r="AG12" s="9"/>
      <c r="AH12" s="9"/>
      <c r="AI12" s="9"/>
      <c r="AJ12" s="9"/>
    </row>
    <row r="13" spans="1:36" ht="22" thickBot="1" x14ac:dyDescent="0.25">
      <c r="A13" s="13" t="s">
        <v>11</v>
      </c>
      <c r="B13" s="28"/>
      <c r="C13" s="28"/>
      <c r="D13" s="28"/>
      <c r="E13" s="28"/>
      <c r="F13" s="28"/>
      <c r="G13" s="9"/>
      <c r="H13" s="10"/>
      <c r="I13" s="9"/>
      <c r="J13" s="9"/>
      <c r="K13" s="9"/>
      <c r="L13" s="9"/>
      <c r="M13" s="9"/>
      <c r="N13" s="28"/>
      <c r="O13" s="29"/>
      <c r="P13" s="9"/>
      <c r="Q13" s="10"/>
      <c r="R13" s="109" t="s">
        <v>12</v>
      </c>
      <c r="S13" s="110"/>
      <c r="T13" s="110"/>
      <c r="U13" s="110"/>
      <c r="V13" s="111"/>
      <c r="W13" s="11"/>
      <c r="X13" s="9"/>
      <c r="Y13" s="10"/>
      <c r="Z13" s="9"/>
      <c r="AA13" s="9"/>
      <c r="AB13" s="9"/>
      <c r="AC13" s="9"/>
      <c r="AD13" s="9"/>
      <c r="AE13" s="11"/>
      <c r="AF13" s="9"/>
      <c r="AG13" s="9"/>
      <c r="AH13" s="9"/>
      <c r="AI13" s="9"/>
      <c r="AJ13" s="9"/>
    </row>
    <row r="14" spans="1:36" ht="21" hidden="1" x14ac:dyDescent="0.2">
      <c r="A14" s="30"/>
      <c r="B14" s="28"/>
      <c r="C14" s="28"/>
      <c r="D14" s="28"/>
      <c r="E14" s="28"/>
      <c r="F14" s="28"/>
      <c r="G14" s="9"/>
      <c r="H14" s="10"/>
      <c r="I14" s="9"/>
      <c r="J14" s="9"/>
      <c r="K14" s="9"/>
      <c r="L14" s="9"/>
      <c r="M14" s="9"/>
      <c r="N14" s="28"/>
      <c r="O14" s="29"/>
      <c r="P14" s="9"/>
      <c r="Q14" s="10"/>
      <c r="R14" s="31"/>
      <c r="S14" s="31"/>
      <c r="T14" s="31"/>
      <c r="U14" s="31"/>
      <c r="V14" s="31"/>
      <c r="W14" s="11"/>
      <c r="X14" s="9"/>
      <c r="Y14" s="10"/>
      <c r="Z14" s="9"/>
      <c r="AA14" s="9"/>
      <c r="AB14" s="9"/>
      <c r="AC14" s="9"/>
      <c r="AD14" s="9"/>
      <c r="AE14" s="11"/>
      <c r="AF14" s="9"/>
      <c r="AG14" s="9"/>
      <c r="AH14" s="9"/>
      <c r="AI14" s="9"/>
      <c r="AJ14" s="9"/>
    </row>
    <row r="15" spans="1:36" ht="21" hidden="1" x14ac:dyDescent="0.2">
      <c r="A15" s="30"/>
      <c r="B15" s="28"/>
      <c r="C15" s="28"/>
      <c r="D15" s="28"/>
      <c r="E15" s="28"/>
      <c r="F15" s="28"/>
      <c r="G15" s="9"/>
      <c r="H15" s="10"/>
      <c r="I15" s="9"/>
      <c r="J15" s="9"/>
      <c r="K15" s="9"/>
      <c r="L15" s="9"/>
      <c r="M15" s="9"/>
      <c r="N15" s="28"/>
      <c r="O15" s="29"/>
      <c r="P15" s="9"/>
      <c r="Q15" s="10"/>
      <c r="R15" s="31"/>
      <c r="S15" s="31"/>
      <c r="T15" s="31"/>
      <c r="U15" s="31"/>
      <c r="V15" s="31"/>
      <c r="W15" s="11"/>
      <c r="X15" s="9"/>
      <c r="Y15" s="10"/>
      <c r="Z15" s="9"/>
      <c r="AA15" s="9"/>
      <c r="AB15" s="9"/>
      <c r="AC15" s="9"/>
      <c r="AD15" s="9"/>
      <c r="AE15" s="11"/>
      <c r="AF15" s="9"/>
      <c r="AG15" s="9"/>
      <c r="AH15" s="9"/>
      <c r="AI15" s="9"/>
      <c r="AJ15" s="9"/>
    </row>
    <row r="16" spans="1:36" ht="21" hidden="1" x14ac:dyDescent="0.2">
      <c r="A16" s="30"/>
      <c r="B16" s="28"/>
      <c r="C16" s="28"/>
      <c r="D16" s="28"/>
      <c r="E16" s="28"/>
      <c r="F16" s="28"/>
      <c r="G16" s="9"/>
      <c r="H16" s="10"/>
      <c r="I16" s="9"/>
      <c r="J16" s="9"/>
      <c r="K16" s="9"/>
      <c r="L16" s="9"/>
      <c r="M16" s="9"/>
      <c r="N16" s="28"/>
      <c r="O16" s="29"/>
      <c r="P16" s="9"/>
      <c r="Q16" s="10"/>
      <c r="R16" s="31"/>
      <c r="S16" s="31"/>
      <c r="T16" s="31"/>
      <c r="U16" s="31"/>
      <c r="V16" s="31"/>
      <c r="W16" s="11"/>
      <c r="X16" s="9"/>
      <c r="Y16" s="10"/>
      <c r="Z16" s="9"/>
      <c r="AA16" s="9"/>
      <c r="AB16" s="9"/>
      <c r="AC16" s="9"/>
      <c r="AD16" s="9"/>
      <c r="AE16" s="11"/>
      <c r="AF16" s="9"/>
      <c r="AG16" s="9"/>
      <c r="AH16" s="9"/>
      <c r="AI16" s="9"/>
      <c r="AJ16" s="9"/>
    </row>
    <row r="17" spans="1:36" ht="21" hidden="1" x14ac:dyDescent="0.2">
      <c r="A17" s="30"/>
      <c r="B17" s="28"/>
      <c r="C17" s="28"/>
      <c r="D17" s="28"/>
      <c r="E17" s="28"/>
      <c r="F17" s="28"/>
      <c r="G17" s="9"/>
      <c r="H17" s="10"/>
      <c r="I17" s="9"/>
      <c r="J17" s="9"/>
      <c r="K17" s="9"/>
      <c r="L17" s="9"/>
      <c r="M17" s="9"/>
      <c r="N17" s="28"/>
      <c r="O17" s="29"/>
      <c r="P17" s="9"/>
      <c r="Q17" s="10"/>
      <c r="R17" s="31"/>
      <c r="S17" s="31"/>
      <c r="T17" s="31"/>
      <c r="U17" s="31"/>
      <c r="V17" s="31"/>
      <c r="W17" s="11"/>
      <c r="X17" s="9"/>
      <c r="Y17" s="10"/>
      <c r="Z17" s="9"/>
      <c r="AA17" s="9"/>
      <c r="AB17" s="9"/>
      <c r="AC17" s="9"/>
      <c r="AD17" s="9"/>
      <c r="AE17" s="11"/>
      <c r="AF17" s="9"/>
      <c r="AG17" s="9"/>
      <c r="AH17" s="9"/>
      <c r="AI17" s="9"/>
      <c r="AJ17" s="9"/>
    </row>
    <row r="18" spans="1:36" ht="9" customHeight="1" thickBot="1" x14ac:dyDescent="0.25">
      <c r="A18" s="32"/>
      <c r="B18" s="23"/>
      <c r="C18" s="23"/>
      <c r="D18" s="23"/>
      <c r="E18" s="23"/>
      <c r="F18" s="23"/>
      <c r="G18" s="9"/>
      <c r="H18" s="10"/>
      <c r="I18" s="9"/>
      <c r="J18" s="9"/>
      <c r="K18" s="9"/>
      <c r="L18" s="9"/>
      <c r="M18" s="9"/>
      <c r="N18" s="33"/>
      <c r="O18" s="34"/>
      <c r="P18" s="9"/>
      <c r="Q18" s="10"/>
      <c r="R18" s="9"/>
      <c r="S18" s="9"/>
      <c r="T18" s="9"/>
      <c r="U18" s="9"/>
      <c r="V18" s="9"/>
      <c r="W18" s="11"/>
      <c r="X18" s="9"/>
      <c r="Y18" s="10"/>
      <c r="Z18" s="35"/>
      <c r="AA18" s="35"/>
      <c r="AB18" s="35"/>
      <c r="AC18" s="35"/>
      <c r="AD18" s="35"/>
      <c r="AE18" s="11"/>
      <c r="AF18" s="9"/>
      <c r="AG18" s="9"/>
      <c r="AH18" s="9"/>
      <c r="AI18" s="9"/>
      <c r="AJ18" s="9"/>
    </row>
    <row r="19" spans="1:36" ht="20" thickBot="1" x14ac:dyDescent="0.25">
      <c r="A19" s="36" t="s">
        <v>13</v>
      </c>
      <c r="B19" s="37">
        <v>33416</v>
      </c>
      <c r="C19" s="37">
        <v>34143</v>
      </c>
      <c r="D19" s="37">
        <v>37547</v>
      </c>
      <c r="E19" s="37">
        <v>39227</v>
      </c>
      <c r="F19" s="37">
        <v>40537</v>
      </c>
      <c r="G19" s="9"/>
      <c r="H19" s="10"/>
      <c r="I19" s="17"/>
      <c r="J19" s="17"/>
      <c r="K19" s="17"/>
      <c r="L19" s="17"/>
      <c r="M19" s="9"/>
      <c r="N19" s="18">
        <f>RATE(5,0,-B19,F19)</f>
        <v>3.9392140532618372E-2</v>
      </c>
      <c r="O19" s="19"/>
      <c r="P19" s="9"/>
      <c r="Q19" s="10"/>
      <c r="R19" s="38"/>
      <c r="S19" s="38"/>
      <c r="T19" s="38"/>
      <c r="U19" s="38"/>
      <c r="V19" s="38"/>
      <c r="W19" s="11"/>
      <c r="X19" s="9"/>
      <c r="Y19" s="10"/>
      <c r="Z19" s="91">
        <f>B19/Z11</f>
        <v>9.6993285081379987</v>
      </c>
      <c r="AA19" s="91">
        <f t="shared" ref="AA19:AD19" si="5">C19/AA11</f>
        <v>9.992077041457625</v>
      </c>
      <c r="AB19" s="91">
        <f t="shared" si="5"/>
        <v>10.795102434643997</v>
      </c>
      <c r="AC19" s="91">
        <f t="shared" si="5"/>
        <v>11.455849729679882</v>
      </c>
      <c r="AD19" s="91">
        <f t="shared" si="5"/>
        <v>11.874013940036235</v>
      </c>
      <c r="AE19" s="11"/>
      <c r="AF19" s="9"/>
      <c r="AG19" s="9"/>
      <c r="AH19" s="9"/>
      <c r="AI19" s="9"/>
      <c r="AJ19" s="9"/>
    </row>
    <row r="20" spans="1:36" ht="20" thickBot="1" x14ac:dyDescent="0.25">
      <c r="A20" s="1"/>
      <c r="B20" s="23"/>
      <c r="C20" s="23"/>
      <c r="D20" s="23"/>
      <c r="E20" s="23"/>
      <c r="F20" s="23"/>
      <c r="G20" s="9"/>
      <c r="H20" s="10"/>
      <c r="I20" s="38"/>
      <c r="J20" s="38"/>
      <c r="K20" s="38"/>
      <c r="L20" s="38"/>
      <c r="M20" s="9"/>
      <c r="O20" s="8"/>
      <c r="P20" s="9"/>
      <c r="Q20" s="10"/>
      <c r="R20" s="38"/>
      <c r="S20" s="38"/>
      <c r="T20" s="38"/>
      <c r="U20" s="38"/>
      <c r="V20" s="38"/>
      <c r="W20" s="11"/>
      <c r="X20" s="9"/>
      <c r="Y20" s="10"/>
      <c r="Z20" s="76"/>
      <c r="AA20" s="76"/>
      <c r="AB20" s="76"/>
      <c r="AC20" s="76"/>
      <c r="AD20" s="76"/>
      <c r="AE20" s="11"/>
      <c r="AF20" s="9"/>
      <c r="AG20" s="9"/>
      <c r="AH20" s="9"/>
      <c r="AI20" s="9"/>
      <c r="AJ20" s="9"/>
    </row>
    <row r="21" spans="1:36" ht="20" thickBot="1" x14ac:dyDescent="0.25">
      <c r="A21" s="32" t="s">
        <v>14</v>
      </c>
      <c r="B21" s="23">
        <v>12919.451062499998</v>
      </c>
      <c r="C21" s="23">
        <v>13565.518904388528</v>
      </c>
      <c r="D21" s="23">
        <v>15408.210436817906</v>
      </c>
      <c r="E21" s="23">
        <v>16710.044607520282</v>
      </c>
      <c r="F21" s="23">
        <v>17376.881233421416</v>
      </c>
      <c r="G21" s="9"/>
      <c r="H21" s="10"/>
      <c r="I21" s="17"/>
      <c r="J21" s="17"/>
      <c r="K21" s="17"/>
      <c r="L21" s="17"/>
      <c r="M21" s="9"/>
      <c r="N21" s="18">
        <f>RATE(5,0,-B21,F21)</f>
        <v>6.1073710193897374E-2</v>
      </c>
      <c r="O21" s="19"/>
      <c r="P21" s="9"/>
      <c r="Q21" s="10"/>
      <c r="R21" s="91">
        <f>B19/B21*100</f>
        <v>258.64876021701332</v>
      </c>
      <c r="S21" s="91">
        <f t="shared" ref="S21:V21" si="6">C19/C21*100</f>
        <v>251.68959802160265</v>
      </c>
      <c r="T21" s="91">
        <f t="shared" si="6"/>
        <v>243.68177053372452</v>
      </c>
      <c r="U21" s="91">
        <f t="shared" si="6"/>
        <v>234.75101905081726</v>
      </c>
      <c r="V21" s="91">
        <f t="shared" si="6"/>
        <v>233.28121689658622</v>
      </c>
      <c r="W21" s="11"/>
      <c r="X21" s="9"/>
      <c r="Y21" s="10"/>
      <c r="Z21" s="91">
        <f>B21/Z11</f>
        <v>3.7499999999999996</v>
      </c>
      <c r="AA21" s="91">
        <f t="shared" ref="AA21:AD21" si="7">C21/AA11</f>
        <v>3.97</v>
      </c>
      <c r="AB21" s="91">
        <f t="shared" si="7"/>
        <v>4.4300000000000006</v>
      </c>
      <c r="AC21" s="91">
        <f t="shared" si="7"/>
        <v>4.88</v>
      </c>
      <c r="AD21" s="91">
        <f t="shared" si="7"/>
        <v>5.089999999999999</v>
      </c>
      <c r="AE21" s="11"/>
      <c r="AF21" s="9"/>
      <c r="AG21" s="9"/>
      <c r="AH21" s="9"/>
      <c r="AI21" s="9"/>
      <c r="AJ21" s="9"/>
    </row>
    <row r="22" spans="1:36" ht="20" thickBot="1" x14ac:dyDescent="0.25">
      <c r="A22" s="32" t="s">
        <v>15</v>
      </c>
      <c r="B22" s="23">
        <v>1460.2666050661501</v>
      </c>
      <c r="C22" s="23">
        <v>1482.0004787352796</v>
      </c>
      <c r="D22" s="23">
        <v>1878.4625850258305</v>
      </c>
      <c r="E22" s="23">
        <v>1933.5576124582215</v>
      </c>
      <c r="F22" s="23">
        <v>2012.0243555926882</v>
      </c>
      <c r="G22" s="9"/>
      <c r="H22" s="10"/>
      <c r="I22" s="39"/>
      <c r="J22" s="39"/>
      <c r="K22" s="39"/>
      <c r="L22" s="39"/>
      <c r="M22" s="9"/>
      <c r="N22" s="18">
        <f>RATE(5,0,-B22,F22)</f>
        <v>6.6203775428882755E-2</v>
      </c>
      <c r="O22" s="19"/>
      <c r="P22" s="9"/>
      <c r="Q22" s="10"/>
      <c r="R22" s="91">
        <f>B19/B22*100</f>
        <v>2288.3492565034899</v>
      </c>
      <c r="S22" s="91">
        <f t="shared" ref="S22:V22" si="8">C19/C22*100</f>
        <v>2303.8454096274791</v>
      </c>
      <c r="T22" s="91">
        <f t="shared" si="8"/>
        <v>1998.815430198398</v>
      </c>
      <c r="U22" s="91">
        <f t="shared" si="8"/>
        <v>2028.7474108479703</v>
      </c>
      <c r="V22" s="91">
        <f t="shared" si="8"/>
        <v>2014.7370426864886</v>
      </c>
      <c r="W22" s="11"/>
      <c r="X22" s="9"/>
      <c r="Y22" s="10"/>
      <c r="Z22" s="91">
        <f>B22/Z11</f>
        <v>0.42385700000000004</v>
      </c>
      <c r="AA22" s="91">
        <f t="shared" ref="AA22:AD22" si="9">C22/AA11</f>
        <v>0.4337129999999999</v>
      </c>
      <c r="AB22" s="91">
        <f t="shared" si="9"/>
        <v>0.54007499999999997</v>
      </c>
      <c r="AC22" s="91">
        <f t="shared" si="9"/>
        <v>0.56467599999999984</v>
      </c>
      <c r="AD22" s="91">
        <f t="shared" si="9"/>
        <v>0.58935800000000005</v>
      </c>
      <c r="AE22" s="11"/>
      <c r="AF22" s="9"/>
      <c r="AG22" s="9"/>
      <c r="AH22" s="9"/>
      <c r="AI22" s="9"/>
      <c r="AJ22" s="9"/>
    </row>
    <row r="23" spans="1:36" ht="20" thickBot="1" x14ac:dyDescent="0.25">
      <c r="A23" s="32" t="s">
        <v>16</v>
      </c>
      <c r="B23" s="23">
        <v>2308.2752565000001</v>
      </c>
      <c r="C23" s="23">
        <v>2289.3948780706078</v>
      </c>
      <c r="D23" s="23">
        <v>2260.7983710906637</v>
      </c>
      <c r="E23" s="23">
        <v>2328.4488387528263</v>
      </c>
      <c r="F23" s="23">
        <v>2355.608654432373</v>
      </c>
      <c r="G23" s="9"/>
      <c r="H23" s="10"/>
      <c r="I23" s="17"/>
      <c r="J23" s="17"/>
      <c r="K23" s="17"/>
      <c r="L23" s="17"/>
      <c r="M23" s="9"/>
      <c r="N23" s="18">
        <f>RATE(5,0,-B23,F23)</f>
        <v>4.0679603022516463E-3</v>
      </c>
      <c r="O23" s="19"/>
      <c r="P23" s="9"/>
      <c r="Q23" s="10"/>
      <c r="R23" s="91">
        <f>B19/B23*100</f>
        <v>1447.6609713638802</v>
      </c>
      <c r="S23" s="91">
        <f t="shared" ref="S23:V23" si="10">C19/C23*100</f>
        <v>1491.3547823071083</v>
      </c>
      <c r="T23" s="91">
        <f t="shared" si="10"/>
        <v>1660.7849899452297</v>
      </c>
      <c r="U23" s="91">
        <f t="shared" si="10"/>
        <v>1684.6837837764533</v>
      </c>
      <c r="V23" s="91">
        <f t="shared" si="10"/>
        <v>1720.8715855124983</v>
      </c>
      <c r="W23" s="11"/>
      <c r="X23" s="9"/>
      <c r="Y23" s="10"/>
      <c r="Z23" s="91">
        <f>B23/Z11</f>
        <v>0.67</v>
      </c>
      <c r="AA23" s="91">
        <f t="shared" ref="AA23:AD23" si="11">C23/AA11</f>
        <v>0.66999999999999993</v>
      </c>
      <c r="AB23" s="91">
        <f t="shared" si="11"/>
        <v>0.65000000000000013</v>
      </c>
      <c r="AC23" s="91">
        <f t="shared" si="11"/>
        <v>0.68</v>
      </c>
      <c r="AD23" s="91">
        <f t="shared" si="11"/>
        <v>0.69</v>
      </c>
      <c r="AE23" s="11"/>
      <c r="AF23" s="9"/>
      <c r="AG23" s="9"/>
      <c r="AH23" s="9"/>
      <c r="AI23" s="9"/>
      <c r="AJ23" s="9"/>
    </row>
    <row r="24" spans="1:36" ht="20" thickBot="1" x14ac:dyDescent="0.25">
      <c r="A24" s="32"/>
      <c r="B24" s="23"/>
      <c r="C24" s="23"/>
      <c r="D24" s="23"/>
      <c r="E24" s="23"/>
      <c r="F24" s="23"/>
      <c r="G24" s="9"/>
      <c r="H24" s="10"/>
      <c r="I24" s="38"/>
      <c r="J24" s="38"/>
      <c r="K24" s="38"/>
      <c r="L24" s="38"/>
      <c r="M24" s="9"/>
      <c r="N24" s="23"/>
      <c r="O24" s="40"/>
      <c r="P24" s="9"/>
      <c r="Q24" s="10"/>
      <c r="R24" s="41"/>
      <c r="S24" s="41"/>
      <c r="T24" s="41"/>
      <c r="U24" s="41"/>
      <c r="V24" s="41"/>
      <c r="W24" s="11"/>
      <c r="X24" s="9"/>
      <c r="Y24" s="10"/>
      <c r="Z24" s="76"/>
      <c r="AA24" s="76"/>
      <c r="AB24" s="76"/>
      <c r="AC24" s="76"/>
      <c r="AD24" s="76"/>
      <c r="AE24" s="11"/>
      <c r="AF24" s="9"/>
      <c r="AG24" s="9"/>
      <c r="AH24" s="9"/>
      <c r="AI24" s="9"/>
      <c r="AJ24" s="9"/>
    </row>
    <row r="25" spans="1:36" ht="20" thickBot="1" x14ac:dyDescent="0.25">
      <c r="A25" s="36" t="s">
        <v>17</v>
      </c>
      <c r="B25" s="23">
        <f>SUM(B21:B23)</f>
        <v>16687.992924066148</v>
      </c>
      <c r="C25" s="23">
        <f t="shared" ref="C25:F25" si="12">SUM(C21:C23)</f>
        <v>17336.914261194415</v>
      </c>
      <c r="D25" s="23">
        <f t="shared" si="12"/>
        <v>19547.4713929344</v>
      </c>
      <c r="E25" s="23">
        <f t="shared" si="12"/>
        <v>20972.051058731329</v>
      </c>
      <c r="F25" s="23">
        <f t="shared" si="12"/>
        <v>21744.514243446476</v>
      </c>
      <c r="G25" s="9"/>
      <c r="H25" s="10"/>
      <c r="I25" s="38"/>
      <c r="J25" s="38"/>
      <c r="K25" s="38"/>
      <c r="L25" s="38"/>
      <c r="M25" s="9"/>
      <c r="N25" s="18">
        <f>RATE(5,0,-B25,F25)</f>
        <v>5.4360483716841636E-2</v>
      </c>
      <c r="O25" s="40"/>
      <c r="P25" s="9"/>
      <c r="Q25" s="10"/>
      <c r="R25" s="91">
        <f>B25/B19*100</f>
        <v>49.940127256602068</v>
      </c>
      <c r="S25" s="91">
        <f t="shared" ref="S25:V25" si="13">C25/C19*100</f>
        <v>50.777360692365683</v>
      </c>
      <c r="T25" s="91">
        <f t="shared" si="13"/>
        <v>52.061340168147652</v>
      </c>
      <c r="U25" s="91">
        <f t="shared" si="13"/>
        <v>53.46330603597351</v>
      </c>
      <c r="V25" s="91">
        <f t="shared" si="13"/>
        <v>53.641153127874475</v>
      </c>
      <c r="W25" s="11"/>
      <c r="X25" s="9"/>
      <c r="Y25" s="10"/>
      <c r="Z25" s="91">
        <f>B25/Z11</f>
        <v>4.8438569999999999</v>
      </c>
      <c r="AA25" s="91">
        <f t="shared" ref="AA25:AD25" si="14">C25/AA11</f>
        <v>5.0737129999999997</v>
      </c>
      <c r="AB25" s="91">
        <f t="shared" si="14"/>
        <v>5.6200750000000008</v>
      </c>
      <c r="AC25" s="91">
        <f t="shared" si="14"/>
        <v>6.124676</v>
      </c>
      <c r="AD25" s="91">
        <f t="shared" si="14"/>
        <v>6.3693579999999983</v>
      </c>
      <c r="AE25" s="11"/>
      <c r="AF25" s="9"/>
      <c r="AG25" s="9"/>
      <c r="AH25" s="9"/>
      <c r="AI25" s="9"/>
      <c r="AJ25" s="9"/>
    </row>
    <row r="26" spans="1:36" ht="20" thickBot="1" x14ac:dyDescent="0.25">
      <c r="A26" s="36" t="s">
        <v>18</v>
      </c>
      <c r="B26" s="37">
        <f>B19-B25</f>
        <v>16728.007075933852</v>
      </c>
      <c r="C26" s="37">
        <f t="shared" ref="C26:F26" si="15">C19-C25</f>
        <v>16806.085738805585</v>
      </c>
      <c r="D26" s="37">
        <f t="shared" si="15"/>
        <v>17999.5286070656</v>
      </c>
      <c r="E26" s="37">
        <f>E19-E25</f>
        <v>18254.948941268671</v>
      </c>
      <c r="F26" s="37">
        <f t="shared" si="15"/>
        <v>18792.485756553524</v>
      </c>
      <c r="G26" s="9"/>
      <c r="H26" s="10"/>
      <c r="I26" s="17"/>
      <c r="J26" s="17"/>
      <c r="K26" s="17"/>
      <c r="L26" s="17"/>
      <c r="M26" s="9"/>
      <c r="N26" s="18">
        <f>RATE(5,0,-B26,F26)</f>
        <v>2.3547507963514798E-2</v>
      </c>
      <c r="O26" s="19"/>
      <c r="P26" s="9"/>
      <c r="Q26" s="10"/>
      <c r="R26" s="91">
        <f>B26/B19*100</f>
        <v>50.059872743397925</v>
      </c>
      <c r="S26" s="91">
        <f t="shared" ref="S26:V26" si="16">C26/C19*100</f>
        <v>49.222639307634317</v>
      </c>
      <c r="T26" s="91">
        <f t="shared" si="16"/>
        <v>47.938659831852348</v>
      </c>
      <c r="U26" s="91">
        <f t="shared" si="16"/>
        <v>46.53669396402649</v>
      </c>
      <c r="V26" s="91">
        <f t="shared" si="16"/>
        <v>46.358846872125525</v>
      </c>
      <c r="W26" s="11"/>
      <c r="X26" s="9"/>
      <c r="Y26" s="10"/>
      <c r="Z26" s="91">
        <f>B26/Z11</f>
        <v>4.8554715081379989</v>
      </c>
      <c r="AA26" s="91">
        <f t="shared" ref="AA26:AD26" si="17">C26/AA11</f>
        <v>4.9183640414576253</v>
      </c>
      <c r="AB26" s="91">
        <f t="shared" si="17"/>
        <v>5.1750274346439964</v>
      </c>
      <c r="AC26" s="91">
        <f t="shared" si="17"/>
        <v>5.3311737296798825</v>
      </c>
      <c r="AD26" s="91">
        <f t="shared" si="17"/>
        <v>5.5046559400362369</v>
      </c>
      <c r="AE26" s="11"/>
      <c r="AF26" s="9"/>
      <c r="AG26" s="9"/>
      <c r="AH26" s="9"/>
      <c r="AI26" s="9"/>
      <c r="AJ26" s="9"/>
    </row>
    <row r="27" spans="1:36" x14ac:dyDescent="0.2">
      <c r="A27" s="1"/>
      <c r="B27" s="23"/>
      <c r="C27" s="23"/>
      <c r="D27" s="23"/>
      <c r="E27" s="23"/>
      <c r="F27" s="23"/>
      <c r="G27" s="9"/>
      <c r="H27" s="10"/>
      <c r="I27" s="38"/>
      <c r="J27" s="38"/>
      <c r="K27" s="38"/>
      <c r="L27" s="38"/>
      <c r="M27" s="9"/>
      <c r="O27" s="8"/>
      <c r="P27" s="9"/>
      <c r="Q27" s="10"/>
      <c r="R27" s="41"/>
      <c r="S27" s="41"/>
      <c r="T27" s="41"/>
      <c r="U27" s="41"/>
      <c r="V27" s="41"/>
      <c r="W27" s="11"/>
      <c r="X27" s="9"/>
      <c r="Y27" s="10"/>
      <c r="Z27" s="76"/>
      <c r="AA27" s="76"/>
      <c r="AB27" s="76"/>
      <c r="AC27" s="76"/>
      <c r="AD27" s="76"/>
      <c r="AE27" s="11"/>
      <c r="AF27" s="9"/>
      <c r="AG27" s="9"/>
      <c r="AH27" s="9"/>
      <c r="AI27" s="9"/>
      <c r="AJ27" s="9"/>
    </row>
    <row r="28" spans="1:36" ht="20" thickBot="1" x14ac:dyDescent="0.25">
      <c r="A28" s="36" t="s">
        <v>19</v>
      </c>
      <c r="B28" s="23"/>
      <c r="C28" s="23"/>
      <c r="D28" s="23"/>
      <c r="E28" s="23"/>
      <c r="F28" s="23"/>
      <c r="G28" s="9"/>
      <c r="H28" s="10"/>
      <c r="I28" s="9"/>
      <c r="J28" s="9"/>
      <c r="K28" s="9"/>
      <c r="L28" s="9"/>
      <c r="M28" s="9"/>
      <c r="N28" s="23"/>
      <c r="O28" s="40"/>
      <c r="P28" s="9"/>
      <c r="Q28" s="10"/>
      <c r="R28" s="42"/>
      <c r="S28" s="42"/>
      <c r="T28" s="42"/>
      <c r="U28" s="42"/>
      <c r="V28" s="42"/>
      <c r="W28" s="11"/>
      <c r="X28" s="9"/>
      <c r="Y28" s="10"/>
      <c r="Z28" s="92"/>
      <c r="AA28" s="92"/>
      <c r="AB28" s="92"/>
      <c r="AC28" s="92"/>
      <c r="AD28" s="92"/>
      <c r="AE28" s="11"/>
      <c r="AF28" s="9"/>
      <c r="AG28" s="9"/>
      <c r="AH28" s="9"/>
      <c r="AI28" s="9"/>
      <c r="AJ28" s="9"/>
    </row>
    <row r="29" spans="1:36" ht="20" thickBot="1" x14ac:dyDescent="0.25">
      <c r="A29" s="32" t="s">
        <v>20</v>
      </c>
      <c r="B29" s="23">
        <v>6525</v>
      </c>
      <c r="C29" s="23">
        <v>7382</v>
      </c>
      <c r="D29" s="23">
        <v>8424</v>
      </c>
      <c r="E29" s="23">
        <v>4647</v>
      </c>
      <c r="F29" s="23">
        <v>6876</v>
      </c>
      <c r="G29" s="9"/>
      <c r="H29" s="10"/>
      <c r="I29" s="17"/>
      <c r="J29" s="17"/>
      <c r="K29" s="17"/>
      <c r="L29" s="17"/>
      <c r="M29" s="9"/>
      <c r="N29" s="18">
        <f>RATE(5,0,-B29,F29)</f>
        <v>1.0534326258350166E-2</v>
      </c>
      <c r="O29" s="19"/>
      <c r="P29" s="9"/>
      <c r="Q29" s="10"/>
      <c r="R29" s="91">
        <f>B29/B19*100</f>
        <v>19.526574096241323</v>
      </c>
      <c r="S29" s="91">
        <f t="shared" ref="S29:V29" si="18">C29/C19*100</f>
        <v>21.620830038368041</v>
      </c>
      <c r="T29" s="91">
        <f t="shared" si="18"/>
        <v>22.435880363278024</v>
      </c>
      <c r="U29" s="91">
        <f t="shared" si="18"/>
        <v>11.846432304280215</v>
      </c>
      <c r="V29" s="91">
        <f t="shared" si="18"/>
        <v>16.962281372573205</v>
      </c>
      <c r="W29" s="11"/>
      <c r="X29" s="9"/>
      <c r="Y29" s="10"/>
      <c r="Z29" s="91">
        <f>B29/Z11</f>
        <v>1.8939465679794243</v>
      </c>
      <c r="AA29" s="91">
        <f t="shared" ref="AA29:AD29" si="19">C29/AA11</f>
        <v>2.1603699944363468</v>
      </c>
      <c r="AB29" s="91">
        <f t="shared" si="19"/>
        <v>2.4219762673300402</v>
      </c>
      <c r="AC29" s="91">
        <f t="shared" si="19"/>
        <v>1.3571094831065953</v>
      </c>
      <c r="AD29" s="91">
        <f t="shared" si="19"/>
        <v>2.0141036547275122</v>
      </c>
      <c r="AE29" s="11"/>
      <c r="AF29" s="9"/>
      <c r="AG29" s="9"/>
      <c r="AH29" s="9"/>
      <c r="AI29" s="9"/>
      <c r="AJ29" s="9"/>
    </row>
    <row r="30" spans="1:36" ht="20" thickBot="1" x14ac:dyDescent="0.25">
      <c r="A30" s="32" t="s">
        <v>21</v>
      </c>
      <c r="B30" s="23">
        <v>3060.66</v>
      </c>
      <c r="C30" s="23">
        <v>2901.1996140000001</v>
      </c>
      <c r="D30" s="23">
        <v>2962.1248058939996</v>
      </c>
      <c r="E30" s="23">
        <v>3014.2582024777344</v>
      </c>
      <c r="F30" s="23">
        <v>3085.093270235961</v>
      </c>
      <c r="G30" s="9"/>
      <c r="H30" s="10"/>
      <c r="I30" s="17"/>
      <c r="J30" s="17"/>
      <c r="K30" s="17"/>
      <c r="L30" s="17"/>
      <c r="M30" s="9"/>
      <c r="N30" s="18">
        <f>RATE(5,0,-B30,F30)</f>
        <v>1.5915274140617772E-3</v>
      </c>
      <c r="O30" s="19"/>
      <c r="P30" s="9"/>
      <c r="Q30" s="10"/>
      <c r="R30" s="91">
        <f>B30/B19*100</f>
        <v>9.159265022743595</v>
      </c>
      <c r="S30" s="91">
        <f t="shared" ref="S30:V30" si="20">C30/C19*100</f>
        <v>8.4972018100342677</v>
      </c>
      <c r="T30" s="91">
        <f t="shared" si="20"/>
        <v>7.8891117956001802</v>
      </c>
      <c r="U30" s="91">
        <f t="shared" si="20"/>
        <v>7.6841415414835055</v>
      </c>
      <c r="V30" s="91">
        <f t="shared" si="20"/>
        <v>7.6105613889433377</v>
      </c>
      <c r="W30" s="11"/>
      <c r="X30" s="9"/>
      <c r="Y30" s="10"/>
      <c r="Z30" s="91">
        <f>B30/Z11</f>
        <v>0.88838720348688194</v>
      </c>
      <c r="AA30" s="91">
        <f t="shared" ref="AA30:AD30" si="21">C30/AA11</f>
        <v>0.84904695122675589</v>
      </c>
      <c r="AB30" s="91">
        <f t="shared" si="21"/>
        <v>0.85163769951862178</v>
      </c>
      <c r="AC30" s="91">
        <f t="shared" si="21"/>
        <v>0.88028370800825761</v>
      </c>
      <c r="AD30" s="91">
        <f t="shared" si="21"/>
        <v>0.90367912023814734</v>
      </c>
      <c r="AE30" s="11"/>
      <c r="AF30" s="9"/>
      <c r="AG30" s="9"/>
      <c r="AH30" s="9"/>
      <c r="AI30" s="9"/>
      <c r="AJ30" s="9"/>
    </row>
    <row r="31" spans="1:36" ht="20" thickBot="1" x14ac:dyDescent="0.25">
      <c r="A31" s="32" t="s">
        <v>22</v>
      </c>
      <c r="B31" s="23">
        <v>3036.5174999999999</v>
      </c>
      <c r="C31" s="23">
        <v>3248.6887499999998</v>
      </c>
      <c r="D31" s="23">
        <v>3775.3514062499999</v>
      </c>
      <c r="E31" s="23">
        <v>4543.2912304687497</v>
      </c>
      <c r="F31" s="23">
        <v>4975.4448266601567</v>
      </c>
      <c r="G31" s="9"/>
      <c r="H31" s="10"/>
      <c r="I31" s="17"/>
      <c r="J31" s="17"/>
      <c r="K31" s="17"/>
      <c r="L31" s="17"/>
      <c r="M31" s="9"/>
      <c r="N31" s="18">
        <f>RATE(5,0,-B31,F31)</f>
        <v>0.10380212356711625</v>
      </c>
      <c r="O31" s="19"/>
      <c r="P31" s="9"/>
      <c r="Q31" s="10"/>
      <c r="R31" s="91">
        <f>B31/B21*100</f>
        <v>23.503456031609549</v>
      </c>
      <c r="S31" s="91">
        <f t="shared" ref="S31:V31" si="22">C31/C21*100</f>
        <v>23.94813477388638</v>
      </c>
      <c r="T31" s="91">
        <f t="shared" si="22"/>
        <v>24.502205637254285</v>
      </c>
      <c r="U31" s="91">
        <f t="shared" si="22"/>
        <v>27.188983256358647</v>
      </c>
      <c r="V31" s="91">
        <f t="shared" si="22"/>
        <v>28.632553562550406</v>
      </c>
      <c r="W31" s="11"/>
      <c r="X31" s="9"/>
      <c r="Y31" s="10"/>
      <c r="Z31" s="91">
        <f>B31/Z11</f>
        <v>0.88137960118535807</v>
      </c>
      <c r="AA31" s="91">
        <f t="shared" ref="AA31:AD31" si="23">C31/AA11</f>
        <v>0.95074095052328933</v>
      </c>
      <c r="AB31" s="91">
        <f t="shared" si="23"/>
        <v>1.085447709730365</v>
      </c>
      <c r="AC31" s="91">
        <f t="shared" si="23"/>
        <v>1.3268223829103016</v>
      </c>
      <c r="AD31" s="91">
        <f t="shared" si="23"/>
        <v>1.4573969763338153</v>
      </c>
      <c r="AE31" s="11"/>
      <c r="AF31" s="9"/>
      <c r="AG31" s="9"/>
      <c r="AH31" s="9"/>
      <c r="AI31" s="9"/>
      <c r="AJ31" s="9"/>
    </row>
    <row r="32" spans="1:36" ht="20" thickBot="1" x14ac:dyDescent="0.25">
      <c r="A32" s="36" t="s">
        <v>23</v>
      </c>
      <c r="B32" s="37">
        <f>SUM(B29:B31)</f>
        <v>12622.1775</v>
      </c>
      <c r="C32" s="37">
        <f t="shared" ref="C32:F32" si="24">SUM(C29:C31)</f>
        <v>13531.888364</v>
      </c>
      <c r="D32" s="37">
        <f t="shared" si="24"/>
        <v>15161.476212144</v>
      </c>
      <c r="E32" s="37">
        <f t="shared" si="24"/>
        <v>12204.549432946485</v>
      </c>
      <c r="F32" s="37">
        <f t="shared" si="24"/>
        <v>14936.538096896118</v>
      </c>
      <c r="G32" s="9"/>
      <c r="H32" s="10"/>
      <c r="I32" s="17"/>
      <c r="J32" s="17"/>
      <c r="K32" s="17"/>
      <c r="L32" s="17"/>
      <c r="M32" s="9"/>
      <c r="N32" s="18">
        <f>RATE(5,0,-B32,F32)</f>
        <v>3.4244294022599625E-2</v>
      </c>
      <c r="O32" s="19"/>
      <c r="P32" s="9"/>
      <c r="Q32" s="10"/>
      <c r="R32" s="91">
        <f>B32/B21*100</f>
        <v>97.699023270711052</v>
      </c>
      <c r="S32" s="91">
        <f t="shared" ref="S32:V32" si="25">C32/C21*100</f>
        <v>99.752088065148413</v>
      </c>
      <c r="T32" s="91">
        <f t="shared" si="25"/>
        <v>98.398683444221831</v>
      </c>
      <c r="U32" s="91">
        <f t="shared" si="25"/>
        <v>73.037204385761385</v>
      </c>
      <c r="V32" s="91">
        <f t="shared" si="25"/>
        <v>85.956380182700897</v>
      </c>
      <c r="W32" s="11"/>
      <c r="X32" s="9"/>
      <c r="Y32" s="10"/>
      <c r="Z32" s="91">
        <f>B32/Z11</f>
        <v>3.6637133726516642</v>
      </c>
      <c r="AA32" s="91">
        <f t="shared" ref="AA32:AD32" si="26">C32/AA11</f>
        <v>3.9601578961863919</v>
      </c>
      <c r="AB32" s="91">
        <f t="shared" si="26"/>
        <v>4.3590616765790271</v>
      </c>
      <c r="AC32" s="91">
        <f t="shared" si="26"/>
        <v>3.5642155740251549</v>
      </c>
      <c r="AD32" s="91">
        <f t="shared" si="26"/>
        <v>4.3751797512994752</v>
      </c>
      <c r="AE32" s="11"/>
      <c r="AF32" s="9"/>
      <c r="AG32" s="9"/>
      <c r="AH32" s="9"/>
      <c r="AI32" s="9"/>
      <c r="AJ32" s="9"/>
    </row>
    <row r="33" spans="1:36" ht="20" thickBot="1" x14ac:dyDescent="0.25">
      <c r="A33" s="1"/>
      <c r="B33" s="23"/>
      <c r="C33" s="23"/>
      <c r="D33" s="23"/>
      <c r="E33" s="23"/>
      <c r="F33" s="23"/>
      <c r="G33" s="9"/>
      <c r="H33" s="10"/>
      <c r="I33" s="38"/>
      <c r="J33" s="38"/>
      <c r="K33" s="38"/>
      <c r="L33" s="38"/>
      <c r="M33" s="9"/>
      <c r="O33" s="8"/>
      <c r="P33" s="9"/>
      <c r="Q33" s="10"/>
      <c r="R33" s="76"/>
      <c r="S33" s="76"/>
      <c r="T33" s="76"/>
      <c r="U33" s="76"/>
      <c r="V33" s="76"/>
      <c r="W33" s="11"/>
      <c r="X33" s="9"/>
      <c r="Y33" s="10"/>
      <c r="Z33" s="76"/>
      <c r="AA33" s="76"/>
      <c r="AB33" s="76"/>
      <c r="AC33" s="76"/>
      <c r="AD33" s="76"/>
      <c r="AE33" s="11"/>
      <c r="AF33" s="9"/>
      <c r="AG33" s="9"/>
      <c r="AH33" s="9"/>
      <c r="AI33" s="9"/>
      <c r="AJ33" s="9"/>
    </row>
    <row r="34" spans="1:36" ht="20" thickBot="1" x14ac:dyDescent="0.25">
      <c r="A34" s="36" t="s">
        <v>24</v>
      </c>
      <c r="B34" s="37">
        <f>B26-B32</f>
        <v>4105.8295759338525</v>
      </c>
      <c r="C34" s="37">
        <f t="shared" ref="C34:F34" si="27">C26-C32</f>
        <v>3274.1973748055843</v>
      </c>
      <c r="D34" s="37">
        <f t="shared" si="27"/>
        <v>2838.0523949216004</v>
      </c>
      <c r="E34" s="37">
        <f t="shared" si="27"/>
        <v>6050.3995083221853</v>
      </c>
      <c r="F34" s="37">
        <f t="shared" si="27"/>
        <v>3855.9476596574059</v>
      </c>
      <c r="G34" s="9"/>
      <c r="H34" s="10"/>
      <c r="I34" s="17"/>
      <c r="J34" s="17"/>
      <c r="K34" s="17"/>
      <c r="L34" s="17"/>
      <c r="M34" s="9"/>
      <c r="N34" s="18">
        <f>RATE(5,0,-B34,F34)</f>
        <v>-1.2479676582746008E-2</v>
      </c>
      <c r="O34" s="19"/>
      <c r="P34" s="9"/>
      <c r="Q34" s="10"/>
      <c r="R34" s="91">
        <f>B34/B19*100</f>
        <v>12.28701692582551</v>
      </c>
      <c r="S34" s="91">
        <f t="shared" ref="S34:V34" si="28">C34/C19*100</f>
        <v>9.5896593000192851</v>
      </c>
      <c r="T34" s="91">
        <f t="shared" si="28"/>
        <v>7.5586661914975899</v>
      </c>
      <c r="U34" s="91">
        <f t="shared" si="28"/>
        <v>15.424068902343247</v>
      </c>
      <c r="V34" s="91">
        <f t="shared" si="28"/>
        <v>9.5121682898522479</v>
      </c>
      <c r="W34" s="11"/>
      <c r="X34" s="9"/>
      <c r="Y34" s="10"/>
      <c r="Z34" s="91">
        <f>B34/Z11</f>
        <v>1.1917581354863349</v>
      </c>
      <c r="AA34" s="91">
        <f t="shared" ref="AA34:AD34" si="29">C34/AA11</f>
        <v>0.95820614527123293</v>
      </c>
      <c r="AB34" s="91">
        <f t="shared" si="29"/>
        <v>0.81596575806496907</v>
      </c>
      <c r="AC34" s="91">
        <f t="shared" si="29"/>
        <v>1.7669581556547276</v>
      </c>
      <c r="AD34" s="91">
        <f t="shared" si="29"/>
        <v>1.1294761887367624</v>
      </c>
      <c r="AE34" s="11"/>
      <c r="AF34" s="9"/>
      <c r="AG34" s="9"/>
      <c r="AH34" s="9"/>
      <c r="AI34" s="9"/>
      <c r="AJ34" s="9"/>
    </row>
    <row r="35" spans="1:36" ht="20" thickBot="1" x14ac:dyDescent="0.25">
      <c r="A35" s="1"/>
      <c r="B35" s="23"/>
      <c r="C35" s="23"/>
      <c r="D35" s="23"/>
      <c r="E35" s="23"/>
      <c r="F35" s="23"/>
      <c r="G35" s="9"/>
      <c r="H35" s="10"/>
      <c r="I35" s="38"/>
      <c r="J35" s="38"/>
      <c r="K35" s="38"/>
      <c r="L35" s="38"/>
      <c r="M35" s="9"/>
      <c r="O35" s="8"/>
      <c r="P35" s="9"/>
      <c r="Q35" s="10"/>
      <c r="R35" s="76"/>
      <c r="S35" s="76"/>
      <c r="T35" s="76"/>
      <c r="U35" s="76"/>
      <c r="V35" s="76"/>
      <c r="W35" s="11"/>
      <c r="X35" s="9"/>
      <c r="Y35" s="10"/>
      <c r="Z35" s="76"/>
      <c r="AA35" s="76"/>
      <c r="AB35" s="76"/>
      <c r="AC35" s="76"/>
      <c r="AD35" s="76"/>
      <c r="AE35" s="11"/>
      <c r="AF35" s="9"/>
      <c r="AG35" s="9"/>
      <c r="AH35" s="9"/>
      <c r="AI35" s="9"/>
      <c r="AJ35" s="9"/>
    </row>
    <row r="36" spans="1:36" ht="20" thickBot="1" x14ac:dyDescent="0.25">
      <c r="A36" s="32" t="s">
        <v>25</v>
      </c>
      <c r="B36" s="23">
        <v>513.28468799999996</v>
      </c>
      <c r="C36" s="23">
        <v>535.57365300000004</v>
      </c>
      <c r="D36" s="23">
        <v>561.29789999999991</v>
      </c>
      <c r="E36" s="23">
        <v>656.19958799999995</v>
      </c>
      <c r="F36" s="23">
        <v>707.56351800000004</v>
      </c>
      <c r="G36" s="9"/>
      <c r="H36" s="10"/>
      <c r="I36" s="17"/>
      <c r="J36" s="17"/>
      <c r="K36" s="17"/>
      <c r="L36" s="17"/>
      <c r="M36" s="9"/>
      <c r="N36" s="18">
        <f>RATE(5,0,-B36,F36)</f>
        <v>6.6304948657881391E-2</v>
      </c>
      <c r="O36" s="19"/>
      <c r="P36" s="9"/>
      <c r="Q36" s="10"/>
      <c r="R36" s="91">
        <f>B36/B19*100</f>
        <v>1.536044673210438</v>
      </c>
      <c r="S36" s="91">
        <f t="shared" ref="S36:V36" si="30">C36/C19*100</f>
        <v>1.5686191986644407</v>
      </c>
      <c r="T36" s="91">
        <f t="shared" si="30"/>
        <v>1.4949207659733132</v>
      </c>
      <c r="U36" s="91">
        <f t="shared" si="30"/>
        <v>1.6728263390011981</v>
      </c>
      <c r="V36" s="91">
        <f t="shared" si="30"/>
        <v>1.7454757826183487</v>
      </c>
      <c r="W36" s="11"/>
      <c r="X36" s="9"/>
      <c r="Y36" s="10"/>
      <c r="Z36" s="91">
        <f>B36/Z11</f>
        <v>0.14898601888643517</v>
      </c>
      <c r="AA36" s="91">
        <f t="shared" ref="AA36:AD36" si="31">C36/AA11</f>
        <v>0.15673763881764616</v>
      </c>
      <c r="AB36" s="91">
        <f t="shared" si="31"/>
        <v>0.16137822800358381</v>
      </c>
      <c r="AC36" s="91">
        <f t="shared" si="31"/>
        <v>0.19163647163448261</v>
      </c>
      <c r="AD36" s="91">
        <f t="shared" si="31"/>
        <v>0.20725803774805932</v>
      </c>
      <c r="AE36" s="11"/>
      <c r="AF36" s="9"/>
      <c r="AG36" s="9"/>
      <c r="AH36" s="9"/>
      <c r="AI36" s="9"/>
      <c r="AJ36" s="9"/>
    </row>
    <row r="37" spans="1:36" ht="20" thickBot="1" x14ac:dyDescent="0.25">
      <c r="A37" s="87"/>
      <c r="B37" s="23"/>
      <c r="C37" s="23"/>
      <c r="D37" s="23"/>
      <c r="E37" s="23"/>
      <c r="F37" s="23"/>
      <c r="G37" s="9"/>
      <c r="H37" s="10"/>
      <c r="I37" s="9"/>
      <c r="J37" s="9"/>
      <c r="K37" s="9"/>
      <c r="L37" s="9"/>
      <c r="M37" s="9"/>
      <c r="N37" s="23"/>
      <c r="O37" s="40"/>
      <c r="P37" s="9"/>
      <c r="Q37" s="10"/>
      <c r="R37" s="92"/>
      <c r="S37" s="92"/>
      <c r="T37" s="92"/>
      <c r="U37" s="92"/>
      <c r="V37" s="92"/>
      <c r="W37" s="11"/>
      <c r="X37" s="9"/>
      <c r="Y37" s="10"/>
      <c r="Z37" s="92"/>
      <c r="AA37" s="92"/>
      <c r="AB37" s="92"/>
      <c r="AC37" s="92"/>
      <c r="AD37" s="92"/>
      <c r="AE37" s="11"/>
      <c r="AF37" s="9"/>
      <c r="AG37" s="9"/>
      <c r="AH37" s="9"/>
      <c r="AI37" s="9"/>
      <c r="AJ37" s="9"/>
    </row>
    <row r="38" spans="1:36" ht="20" thickBot="1" x14ac:dyDescent="0.25">
      <c r="A38" s="36" t="s">
        <v>26</v>
      </c>
      <c r="B38" s="43">
        <f>B34-B36</f>
        <v>3592.5448879338528</v>
      </c>
      <c r="C38" s="43">
        <f t="shared" ref="C38:F38" si="32">C34-C36</f>
        <v>2738.6237218055844</v>
      </c>
      <c r="D38" s="43">
        <f t="shared" si="32"/>
        <v>2276.7544949216003</v>
      </c>
      <c r="E38" s="43">
        <f t="shared" si="32"/>
        <v>5394.1999203221858</v>
      </c>
      <c r="F38" s="43">
        <f t="shared" si="32"/>
        <v>3148.384141657406</v>
      </c>
      <c r="G38" s="9"/>
      <c r="H38" s="10"/>
      <c r="I38" s="17"/>
      <c r="J38" s="17"/>
      <c r="K38" s="17"/>
      <c r="L38" s="17"/>
      <c r="M38" s="9"/>
      <c r="N38" s="18">
        <f>RATE(5,0,-B38,F38)</f>
        <v>-2.6049011766766494E-2</v>
      </c>
      <c r="O38" s="19"/>
      <c r="P38" s="9"/>
      <c r="Q38" s="10"/>
      <c r="R38" s="91">
        <f>B38/B19*100</f>
        <v>10.750972252615073</v>
      </c>
      <c r="S38" s="91">
        <f t="shared" ref="S38:V38" si="33">C38/C19*100</f>
        <v>8.0210401013548438</v>
      </c>
      <c r="T38" s="91">
        <f t="shared" si="33"/>
        <v>6.0637454255242771</v>
      </c>
      <c r="U38" s="91">
        <f t="shared" si="33"/>
        <v>13.75124256334205</v>
      </c>
      <c r="V38" s="91">
        <f t="shared" si="33"/>
        <v>7.7666925072338993</v>
      </c>
      <c r="W38" s="11"/>
      <c r="X38" s="9"/>
      <c r="Y38" s="10"/>
      <c r="Z38" s="91">
        <f>B38/Z11</f>
        <v>1.0427721165998998</v>
      </c>
      <c r="AA38" s="91">
        <f t="shared" ref="AA38:AD38" si="34">C38/AA11</f>
        <v>0.8014685064535868</v>
      </c>
      <c r="AB38" s="91">
        <f t="shared" si="34"/>
        <v>0.65458753006138526</v>
      </c>
      <c r="AC38" s="91">
        <f t="shared" si="34"/>
        <v>1.5753216840202451</v>
      </c>
      <c r="AD38" s="91">
        <f t="shared" si="34"/>
        <v>0.92221815098870308</v>
      </c>
      <c r="AE38" s="11"/>
      <c r="AF38" s="9"/>
      <c r="AG38" s="9"/>
      <c r="AH38" s="9"/>
      <c r="AI38" s="9"/>
      <c r="AJ38" s="9"/>
    </row>
    <row r="39" spans="1:36" ht="20" thickBot="1" x14ac:dyDescent="0.25">
      <c r="A39" s="1"/>
      <c r="B39" s="23"/>
      <c r="C39" s="23"/>
      <c r="D39" s="23"/>
      <c r="E39" s="23"/>
      <c r="F39" s="23"/>
      <c r="G39" s="9"/>
      <c r="H39" s="10"/>
      <c r="I39" s="38"/>
      <c r="J39" s="38"/>
      <c r="K39" s="38"/>
      <c r="L39" s="38"/>
      <c r="M39" s="9"/>
      <c r="O39" s="8"/>
      <c r="P39" s="9"/>
      <c r="Q39" s="10"/>
      <c r="R39" s="76"/>
      <c r="S39" s="76"/>
      <c r="T39" s="76"/>
      <c r="U39" s="76"/>
      <c r="V39" s="76"/>
      <c r="W39" s="11"/>
      <c r="X39" s="9"/>
      <c r="Y39" s="10"/>
      <c r="Z39" s="76"/>
      <c r="AA39" s="76"/>
      <c r="AB39" s="76"/>
      <c r="AC39" s="76"/>
      <c r="AD39" s="76"/>
      <c r="AE39" s="11"/>
      <c r="AF39" s="9"/>
      <c r="AG39" s="9"/>
      <c r="AH39" s="9"/>
      <c r="AI39" s="9"/>
      <c r="AJ39" s="9"/>
    </row>
    <row r="40" spans="1:36" ht="20" thickBot="1" x14ac:dyDescent="0.25">
      <c r="A40" s="32" t="s">
        <v>27</v>
      </c>
      <c r="B40" s="23">
        <f>B38*0.35</f>
        <v>1257.3907107768484</v>
      </c>
      <c r="C40" s="23">
        <f>C38*0.35</f>
        <v>958.5183026319545</v>
      </c>
      <c r="D40" s="23">
        <f>D38*0.33</f>
        <v>751.3289833241281</v>
      </c>
      <c r="E40" s="23">
        <f>E38*0.33</f>
        <v>1780.0859737063213</v>
      </c>
      <c r="F40" s="23">
        <f>F38*0.33</f>
        <v>1038.9667667469439</v>
      </c>
      <c r="G40" s="9"/>
      <c r="H40" s="10"/>
      <c r="I40" s="17"/>
      <c r="J40" s="17"/>
      <c r="K40" s="17"/>
      <c r="L40" s="17"/>
      <c r="M40" s="9"/>
      <c r="N40" s="18">
        <f>RATE(5,0,-B40,F40)</f>
        <v>-3.7443387818787338E-2</v>
      </c>
      <c r="O40" s="19"/>
      <c r="P40" s="9"/>
      <c r="Q40" s="10"/>
      <c r="R40" s="91">
        <f>B40/B19*100</f>
        <v>3.7628402884152754</v>
      </c>
      <c r="S40" s="91">
        <f t="shared" ref="S40:V40" si="35">C40/C19*100</f>
        <v>2.8073640354741953</v>
      </c>
      <c r="T40" s="91">
        <f t="shared" si="35"/>
        <v>2.0010359904230111</v>
      </c>
      <c r="U40" s="91">
        <f t="shared" si="35"/>
        <v>4.5379100459028763</v>
      </c>
      <c r="V40" s="91">
        <f t="shared" si="35"/>
        <v>2.5630085273871868</v>
      </c>
      <c r="W40" s="11"/>
      <c r="X40" s="9"/>
      <c r="Y40" s="10"/>
      <c r="Z40" s="91">
        <f>B40/Z11</f>
        <v>0.36497024080996493</v>
      </c>
      <c r="AA40" s="91">
        <f t="shared" ref="AA40:AD40" si="36">C40/AA11</f>
        <v>0.28051397725875538</v>
      </c>
      <c r="AB40" s="91">
        <f t="shared" si="36"/>
        <v>0.21601388492025711</v>
      </c>
      <c r="AC40" s="91">
        <f t="shared" si="36"/>
        <v>0.51985615572668087</v>
      </c>
      <c r="AD40" s="91">
        <f t="shared" si="36"/>
        <v>0.30433198982627202</v>
      </c>
      <c r="AE40" s="11"/>
      <c r="AF40" s="9"/>
      <c r="AG40" s="9"/>
      <c r="AH40" s="9"/>
      <c r="AI40" s="9"/>
      <c r="AJ40" s="9"/>
    </row>
    <row r="41" spans="1:36" ht="20" thickBot="1" x14ac:dyDescent="0.25">
      <c r="A41" s="32"/>
      <c r="B41" s="44"/>
      <c r="C41" s="44"/>
      <c r="D41" s="44"/>
      <c r="E41" s="44"/>
      <c r="F41" s="44"/>
      <c r="G41" s="9"/>
      <c r="H41" s="10"/>
      <c r="I41" s="9"/>
      <c r="J41" s="9"/>
      <c r="K41" s="9"/>
      <c r="L41" s="9"/>
      <c r="M41" s="9"/>
      <c r="N41" s="45"/>
      <c r="O41" s="46"/>
      <c r="P41" s="9"/>
      <c r="Q41" s="10"/>
      <c r="R41" s="92"/>
      <c r="S41" s="92"/>
      <c r="T41" s="92"/>
      <c r="U41" s="92"/>
      <c r="V41" s="92"/>
      <c r="W41" s="11"/>
      <c r="X41" s="9"/>
      <c r="Y41" s="10"/>
      <c r="Z41" s="92"/>
      <c r="AA41" s="92"/>
      <c r="AB41" s="92"/>
      <c r="AC41" s="92"/>
      <c r="AD41" s="92"/>
      <c r="AE41" s="11"/>
      <c r="AF41" s="9"/>
      <c r="AG41" s="9"/>
      <c r="AH41" s="9"/>
      <c r="AI41" s="9"/>
      <c r="AJ41" s="9"/>
    </row>
    <row r="42" spans="1:36" ht="20" thickBot="1" x14ac:dyDescent="0.25">
      <c r="A42" s="36" t="s">
        <v>28</v>
      </c>
      <c r="B42" s="37">
        <f>B38-B40</f>
        <v>2335.1541771570046</v>
      </c>
      <c r="C42" s="37">
        <f t="shared" ref="C42:E42" si="37">C38-C40</f>
        <v>1780.1054191736298</v>
      </c>
      <c r="D42" s="37">
        <f t="shared" si="37"/>
        <v>1525.4255115974722</v>
      </c>
      <c r="E42" s="37">
        <f t="shared" si="37"/>
        <v>3614.1139466158647</v>
      </c>
      <c r="F42" s="37">
        <f>F38-F40</f>
        <v>2109.4173749104621</v>
      </c>
      <c r="G42" s="9"/>
      <c r="H42" s="10"/>
      <c r="I42" s="17"/>
      <c r="J42" s="17"/>
      <c r="K42" s="17"/>
      <c r="L42" s="17"/>
      <c r="M42" s="9"/>
      <c r="N42" s="18">
        <f>RATE(5,0,-B42,F42)</f>
        <v>-2.0127900741693069E-2</v>
      </c>
      <c r="O42" s="19"/>
      <c r="P42" s="9"/>
      <c r="Q42" s="10"/>
      <c r="R42" s="91">
        <f>B42/B19*100</f>
        <v>6.9881319641997983</v>
      </c>
      <c r="S42" s="91">
        <f t="shared" ref="S42:V42" si="38">C42/C19*100</f>
        <v>5.2136760658806489</v>
      </c>
      <c r="T42" s="91">
        <f t="shared" si="38"/>
        <v>4.062709435101266</v>
      </c>
      <c r="U42" s="91">
        <f t="shared" si="38"/>
        <v>9.2133325174391736</v>
      </c>
      <c r="V42" s="91">
        <f t="shared" si="38"/>
        <v>5.2036839798467129</v>
      </c>
      <c r="W42" s="11"/>
      <c r="X42" s="9"/>
      <c r="Y42" s="10"/>
      <c r="Z42" s="91">
        <f>B42/Z11</f>
        <v>0.67780187578993489</v>
      </c>
      <c r="AA42" s="91">
        <f t="shared" ref="AA42:AD42" si="39">C42/AA11</f>
        <v>0.52095452919483143</v>
      </c>
      <c r="AB42" s="91">
        <f t="shared" si="39"/>
        <v>0.43857364514112812</v>
      </c>
      <c r="AC42" s="91">
        <f t="shared" si="39"/>
        <v>1.0554655282935643</v>
      </c>
      <c r="AD42" s="91">
        <f t="shared" si="39"/>
        <v>0.61788616116243111</v>
      </c>
      <c r="AE42" s="11"/>
      <c r="AF42" s="9"/>
      <c r="AG42" s="9"/>
      <c r="AH42" s="9"/>
      <c r="AI42" s="9"/>
      <c r="AJ42" s="9"/>
    </row>
    <row r="43" spans="1:36" ht="20" thickBot="1" x14ac:dyDescent="0.25">
      <c r="A43" s="1"/>
      <c r="B43" s="23"/>
      <c r="C43" s="23"/>
      <c r="D43" s="23"/>
      <c r="E43" s="23"/>
      <c r="F43" s="23"/>
      <c r="G43" s="9"/>
      <c r="H43" s="10"/>
      <c r="I43" s="38"/>
      <c r="J43" s="38"/>
      <c r="K43" s="38"/>
      <c r="L43" s="38"/>
      <c r="M43" s="9"/>
      <c r="O43" s="8"/>
      <c r="P43" s="9"/>
      <c r="Q43" s="10"/>
      <c r="R43" s="38"/>
      <c r="S43" s="38"/>
      <c r="T43" s="38"/>
      <c r="U43" s="38"/>
      <c r="V43" s="38"/>
      <c r="W43" s="11"/>
      <c r="X43" s="9"/>
      <c r="Y43" s="47"/>
      <c r="Z43" s="48"/>
      <c r="AA43" s="48"/>
      <c r="AB43" s="48"/>
      <c r="AC43" s="48"/>
      <c r="AD43" s="48"/>
      <c r="AE43" s="49"/>
      <c r="AF43" s="9"/>
      <c r="AG43" s="9"/>
      <c r="AH43" s="9"/>
      <c r="AI43" s="9"/>
      <c r="AJ43" s="9"/>
    </row>
    <row r="44" spans="1:36" ht="19.5" customHeight="1" x14ac:dyDescent="0.2">
      <c r="A44" s="102" t="s">
        <v>29</v>
      </c>
      <c r="B44" s="102"/>
      <c r="C44" s="102"/>
      <c r="D44" s="102"/>
      <c r="E44" s="102"/>
      <c r="F44" s="102"/>
      <c r="G44" s="9"/>
      <c r="H44" s="10"/>
      <c r="I44" s="26"/>
      <c r="J44" s="26"/>
      <c r="K44" s="26"/>
      <c r="L44" s="26"/>
      <c r="M44" s="9"/>
      <c r="N44" s="37"/>
      <c r="O44" s="50"/>
      <c r="P44" s="9"/>
      <c r="Q44" s="10"/>
      <c r="R44" s="26"/>
      <c r="S44" s="26"/>
      <c r="T44" s="26"/>
      <c r="U44" s="26"/>
      <c r="V44" s="26"/>
      <c r="W44" s="11"/>
      <c r="X44" s="9"/>
      <c r="Y44" s="9"/>
      <c r="Z44" s="51"/>
      <c r="AA44" s="51"/>
      <c r="AB44" s="51"/>
      <c r="AC44" s="51"/>
      <c r="AD44" s="51"/>
      <c r="AE44" s="9"/>
      <c r="AF44" s="9"/>
      <c r="AG44" s="9"/>
      <c r="AH44" s="9"/>
      <c r="AI44" s="9"/>
      <c r="AJ44" s="9"/>
    </row>
    <row r="45" spans="1:36" ht="19.5" customHeight="1" x14ac:dyDescent="0.2">
      <c r="B45" s="1">
        <v>2011</v>
      </c>
      <c r="C45" s="1">
        <v>2012</v>
      </c>
      <c r="D45" s="1">
        <v>2013</v>
      </c>
      <c r="E45" s="1">
        <v>2014</v>
      </c>
      <c r="F45" s="1">
        <v>2015</v>
      </c>
      <c r="G45" s="9"/>
      <c r="H45" s="10"/>
      <c r="I45" s="26"/>
      <c r="J45" s="26"/>
      <c r="K45" s="26"/>
      <c r="L45" s="26"/>
      <c r="M45" s="9"/>
      <c r="N45" s="37"/>
      <c r="O45" s="50"/>
      <c r="P45" s="9"/>
      <c r="Q45" s="10"/>
      <c r="R45" s="26"/>
      <c r="S45" s="26"/>
      <c r="T45" s="26"/>
      <c r="U45" s="26"/>
      <c r="V45" s="26"/>
      <c r="W45" s="11"/>
      <c r="X45" s="9"/>
      <c r="Y45" s="9"/>
      <c r="Z45" s="51"/>
      <c r="AA45" s="51"/>
      <c r="AB45" s="51"/>
      <c r="AC45" s="51"/>
      <c r="AD45" s="51"/>
      <c r="AE45" s="9"/>
      <c r="AF45" s="9"/>
      <c r="AG45" s="9"/>
      <c r="AH45" s="9"/>
      <c r="AI45" s="9"/>
      <c r="AJ45" s="9"/>
    </row>
    <row r="46" spans="1:36" ht="19.5" customHeight="1" thickBot="1" x14ac:dyDescent="0.25">
      <c r="A46" s="36"/>
      <c r="B46" s="37"/>
      <c r="C46" s="37"/>
      <c r="D46" s="37"/>
      <c r="E46" s="37"/>
      <c r="F46" s="37"/>
      <c r="G46" s="9"/>
      <c r="H46" s="10"/>
      <c r="I46" s="26"/>
      <c r="J46" s="26"/>
      <c r="K46" s="26"/>
      <c r="L46" s="26"/>
      <c r="M46" s="9"/>
      <c r="N46" s="37"/>
      <c r="O46" s="50"/>
      <c r="P46" s="9"/>
      <c r="Q46" s="10"/>
      <c r="R46" s="26"/>
      <c r="S46" s="26"/>
      <c r="T46" s="26"/>
      <c r="U46" s="26"/>
      <c r="V46" s="26"/>
      <c r="W46" s="11"/>
      <c r="X46" s="9"/>
      <c r="Y46" s="9"/>
      <c r="Z46" s="51"/>
      <c r="AA46" s="51"/>
      <c r="AB46" s="51"/>
      <c r="AC46" s="51"/>
      <c r="AD46" s="51"/>
      <c r="AE46" s="9"/>
      <c r="AF46" s="9"/>
      <c r="AG46" s="9"/>
      <c r="AH46" s="9"/>
      <c r="AI46" s="9"/>
      <c r="AJ46" s="9"/>
    </row>
    <row r="47" spans="1:36" ht="22" customHeight="1" thickBot="1" x14ac:dyDescent="0.25">
      <c r="A47" s="13" t="s">
        <v>30</v>
      </c>
      <c r="B47" s="28"/>
      <c r="C47" s="28"/>
      <c r="D47" s="28"/>
      <c r="E47" s="28"/>
      <c r="F47" s="28"/>
      <c r="G47" s="28"/>
      <c r="H47" s="52"/>
      <c r="M47" s="28"/>
      <c r="N47" s="28"/>
      <c r="O47" s="29"/>
      <c r="P47" s="28"/>
      <c r="Q47" s="52"/>
      <c r="R47" s="109" t="s">
        <v>31</v>
      </c>
      <c r="S47" s="110"/>
      <c r="T47" s="110"/>
      <c r="U47" s="110"/>
      <c r="V47" s="111"/>
      <c r="W47" s="29"/>
      <c r="X47" s="28"/>
      <c r="Y47" s="28"/>
      <c r="AE47" s="9"/>
      <c r="AF47" s="9"/>
      <c r="AG47" s="9"/>
      <c r="AH47" s="9"/>
      <c r="AI47" s="9"/>
      <c r="AJ47" s="9"/>
    </row>
    <row r="48" spans="1:36" ht="8" customHeight="1" thickBot="1" x14ac:dyDescent="0.25">
      <c r="B48" s="23"/>
      <c r="C48" s="33"/>
      <c r="D48" s="33"/>
      <c r="E48" s="33"/>
      <c r="F48" s="33"/>
      <c r="G48" s="53"/>
      <c r="H48" s="54"/>
      <c r="M48" s="55"/>
      <c r="N48" s="33"/>
      <c r="O48" s="34"/>
      <c r="P48" s="53"/>
      <c r="Q48" s="54"/>
      <c r="W48" s="56"/>
      <c r="X48" s="53"/>
      <c r="Y48" s="28"/>
      <c r="AE48" s="9"/>
      <c r="AF48" s="51"/>
      <c r="AG48" s="33"/>
      <c r="AH48" s="51"/>
      <c r="AI48" s="33"/>
      <c r="AJ48" s="51"/>
    </row>
    <row r="49" spans="1:36" ht="20" thickBot="1" x14ac:dyDescent="0.25">
      <c r="A49" s="12" t="s">
        <v>32</v>
      </c>
      <c r="B49" s="23">
        <v>4229.4399999999996</v>
      </c>
      <c r="C49" s="23">
        <v>3177</v>
      </c>
      <c r="D49" s="23">
        <v>2108</v>
      </c>
      <c r="E49" s="23">
        <v>1455</v>
      </c>
      <c r="F49" s="23">
        <v>2699</v>
      </c>
      <c r="G49" s="23"/>
      <c r="H49" s="57"/>
      <c r="I49" s="17"/>
      <c r="J49" s="17"/>
      <c r="K49" s="17"/>
      <c r="L49" s="17"/>
      <c r="M49" s="23"/>
      <c r="N49" s="18">
        <f>RATE(4,0,-B49,F49)</f>
        <v>-0.10622129287996379</v>
      </c>
      <c r="O49" s="19"/>
      <c r="P49" s="23"/>
      <c r="Q49" s="57"/>
      <c r="R49" s="91">
        <f>B49/B55*100</f>
        <v>12.098386925604519</v>
      </c>
      <c r="S49" s="91">
        <f t="shared" ref="S49:V49" si="40">C49/C55*100</f>
        <v>9.2059068627797203</v>
      </c>
      <c r="T49" s="91">
        <f t="shared" si="40"/>
        <v>5.6428363251347982</v>
      </c>
      <c r="U49" s="91">
        <f t="shared" si="40"/>
        <v>3.7261059982893476</v>
      </c>
      <c r="V49" s="91">
        <f t="shared" si="40"/>
        <v>6.522732541862057</v>
      </c>
      <c r="W49" s="40"/>
      <c r="X49" s="23"/>
      <c r="Y49" s="28"/>
      <c r="AE49" s="9"/>
      <c r="AF49" s="38"/>
      <c r="AG49" s="38"/>
      <c r="AH49" s="38"/>
      <c r="AI49" s="38"/>
      <c r="AJ49" s="38"/>
    </row>
    <row r="50" spans="1:36" ht="20" thickBot="1" x14ac:dyDescent="0.25">
      <c r="A50" s="12" t="s">
        <v>33</v>
      </c>
      <c r="B50" s="23">
        <v>3355.59</v>
      </c>
      <c r="C50" s="23">
        <v>3858</v>
      </c>
      <c r="D50" s="23">
        <v>4227</v>
      </c>
      <c r="E50" s="23">
        <v>4385</v>
      </c>
      <c r="F50" s="23">
        <v>4988</v>
      </c>
      <c r="G50" s="23"/>
      <c r="H50" s="57"/>
      <c r="I50" s="17"/>
      <c r="J50" s="17"/>
      <c r="K50" s="17"/>
      <c r="L50" s="17"/>
      <c r="M50" s="23"/>
      <c r="N50" s="18">
        <f t="shared" ref="N50:N55" si="41">RATE(4,0,-B50,F50)</f>
        <v>0.1041787588342282</v>
      </c>
      <c r="O50" s="19"/>
      <c r="P50" s="23"/>
      <c r="Q50" s="57"/>
      <c r="R50" s="91">
        <f>B50/B55*100</f>
        <v>9.59872375153431</v>
      </c>
      <c r="S50" s="91">
        <f t="shared" ref="S50:V50" si="42">C50/C55*100</f>
        <v>11.179222120429388</v>
      </c>
      <c r="T50" s="91">
        <f t="shared" si="42"/>
        <v>11.31511819086565</v>
      </c>
      <c r="U50" s="91">
        <f t="shared" si="42"/>
        <v>11.229535946734561</v>
      </c>
      <c r="V50" s="91">
        <f t="shared" si="42"/>
        <v>12.054609084404573</v>
      </c>
      <c r="W50" s="40"/>
      <c r="X50" s="23"/>
      <c r="Y50" s="28"/>
      <c r="AE50" s="9"/>
      <c r="AF50" s="58"/>
      <c r="AG50" s="58"/>
      <c r="AH50" s="58"/>
      <c r="AI50" s="58"/>
      <c r="AJ50" s="58"/>
    </row>
    <row r="51" spans="1:36" ht="20" thickBot="1" x14ac:dyDescent="0.25">
      <c r="A51" s="12" t="s">
        <v>34</v>
      </c>
      <c r="B51" s="23">
        <v>3081.54</v>
      </c>
      <c r="C51" s="23">
        <v>3398</v>
      </c>
      <c r="D51" s="23">
        <v>4265</v>
      </c>
      <c r="E51" s="23">
        <v>4690</v>
      </c>
      <c r="F51" s="23">
        <v>4954</v>
      </c>
      <c r="G51" s="23"/>
      <c r="H51" s="57"/>
      <c r="I51" s="17"/>
      <c r="J51" s="17"/>
      <c r="K51" s="17"/>
      <c r="L51" s="17"/>
      <c r="M51" s="23"/>
      <c r="N51" s="18">
        <f t="shared" si="41"/>
        <v>0.12602244708381968</v>
      </c>
      <c r="O51" s="19"/>
      <c r="P51" s="23"/>
      <c r="Q51" s="57"/>
      <c r="R51" s="91">
        <f t="shared" ref="R51" si="43">B51/B57*100</f>
        <v>121.426122728831</v>
      </c>
      <c r="S51" s="91">
        <f t="shared" ref="S51" si="44">C51/C57*100</f>
        <v>158.19145915094296</v>
      </c>
      <c r="T51" s="91">
        <f t="shared" ref="T51" si="45">D51/D57*100</f>
        <v>163.62813252919602</v>
      </c>
      <c r="U51" s="91">
        <f t="shared" ref="U51" si="46">E51/E57*100</f>
        <v>167.62452107279694</v>
      </c>
      <c r="V51" s="91">
        <f t="shared" ref="V51" si="47">F51/F57*100</f>
        <v>178.11238265759209</v>
      </c>
      <c r="W51" s="40"/>
      <c r="X51" s="23"/>
      <c r="Y51" s="28"/>
      <c r="AE51" s="9"/>
      <c r="AF51" s="59"/>
      <c r="AG51" s="60"/>
      <c r="AH51" s="59"/>
      <c r="AI51" s="60"/>
      <c r="AJ51" s="59"/>
    </row>
    <row r="52" spans="1:36" ht="20" thickBot="1" x14ac:dyDescent="0.25">
      <c r="A52" s="12" t="s">
        <v>35</v>
      </c>
      <c r="B52" s="23">
        <v>35494.26</v>
      </c>
      <c r="C52" s="23">
        <f>B52+C70</f>
        <v>38528.26</v>
      </c>
      <c r="D52" s="23">
        <f>C52+D70</f>
        <v>44983.26</v>
      </c>
      <c r="E52" s="23">
        <f>D52+E70</f>
        <v>51288.26</v>
      </c>
      <c r="F52" s="23">
        <f>E52+F70</f>
        <v>56482.26</v>
      </c>
      <c r="G52" s="23"/>
      <c r="H52" s="57"/>
      <c r="I52" s="17"/>
      <c r="J52" s="17"/>
      <c r="K52" s="17"/>
      <c r="L52" s="17"/>
      <c r="M52" s="23"/>
      <c r="N52" s="18">
        <f t="shared" si="41"/>
        <v>0.12315187082277364</v>
      </c>
      <c r="O52" s="19"/>
      <c r="P52" s="23"/>
      <c r="Q52" s="57"/>
      <c r="R52" s="91">
        <f t="shared" ref="R52" si="48">B52/B57*100</f>
        <v>1398.6287281453549</v>
      </c>
      <c r="S52" s="91">
        <f t="shared" ref="S52" si="49">C52/C57*100</f>
        <v>1793.655582091498</v>
      </c>
      <c r="T52" s="91">
        <f t="shared" ref="T52" si="50">D52/D57*100</f>
        <v>1725.7976152110859</v>
      </c>
      <c r="U52" s="91">
        <f t="shared" ref="U52" si="51">E52/E57*100</f>
        <v>1833.085291931149</v>
      </c>
      <c r="V52" s="91">
        <f t="shared" ref="V52" si="52">F52/F57*100</f>
        <v>2030.7206109175631</v>
      </c>
      <c r="W52" s="40"/>
      <c r="X52" s="23"/>
      <c r="Y52" s="28"/>
      <c r="AE52" s="9"/>
      <c r="AF52" s="58"/>
      <c r="AG52" s="58"/>
      <c r="AH52" s="58"/>
      <c r="AI52" s="58"/>
      <c r="AJ52" s="58"/>
    </row>
    <row r="53" spans="1:36" ht="20" thickBot="1" x14ac:dyDescent="0.25">
      <c r="A53" s="12" t="s">
        <v>36</v>
      </c>
      <c r="B53" s="23">
        <v>-11202.12</v>
      </c>
      <c r="C53" s="23">
        <f>B53-C31</f>
        <v>-14450.80875</v>
      </c>
      <c r="D53" s="23">
        <f>C53-D31</f>
        <v>-18226.16015625</v>
      </c>
      <c r="E53" s="23">
        <f>D53-E31</f>
        <v>-22769.451386718749</v>
      </c>
      <c r="F53" s="23">
        <f>E53-F31</f>
        <v>-27744.896213378906</v>
      </c>
      <c r="G53" s="53"/>
      <c r="H53" s="54"/>
      <c r="I53" s="17"/>
      <c r="J53" s="17"/>
      <c r="K53" s="17"/>
      <c r="L53" s="17"/>
      <c r="M53" s="55"/>
      <c r="N53" s="18">
        <f t="shared" si="41"/>
        <v>0.25450015983523505</v>
      </c>
      <c r="O53" s="19"/>
      <c r="P53" s="53"/>
      <c r="Q53" s="54"/>
      <c r="R53" s="91">
        <f t="shared" ref="R53" si="53">B53/B59*100</f>
        <v>-886.16655196145916</v>
      </c>
      <c r="S53" s="91">
        <f t="shared" ref="S53" si="54">C53/C59*100</f>
        <v>-1234.0360326894504</v>
      </c>
      <c r="T53" s="91">
        <f t="shared" ref="T53" si="55">D53/D59*100</f>
        <v>-1378.2637746710525</v>
      </c>
      <c r="U53" s="91">
        <f t="shared" ref="U53" si="56">E53/E59*100</f>
        <v>-1672.3184155351437</v>
      </c>
      <c r="V53" s="91">
        <f t="shared" ref="V53" si="57">F53/F59*100</f>
        <v>-2128.8841991144445</v>
      </c>
      <c r="W53" s="56"/>
      <c r="X53" s="53"/>
      <c r="Y53" s="28"/>
      <c r="AE53" s="9"/>
      <c r="AF53" s="51"/>
      <c r="AG53" s="23"/>
      <c r="AH53" s="51"/>
      <c r="AI53" s="23"/>
      <c r="AJ53" s="51"/>
    </row>
    <row r="54" spans="1:36" ht="20" thickBot="1" x14ac:dyDescent="0.25">
      <c r="A54" s="12" t="s">
        <v>37</v>
      </c>
      <c r="B54" s="23">
        <f>B52+B53</f>
        <v>24292.14</v>
      </c>
      <c r="C54" s="23">
        <f t="shared" ref="C54:F54" si="58">C52+C53</f>
        <v>24077.451250000002</v>
      </c>
      <c r="D54" s="23">
        <f t="shared" si="58"/>
        <v>26757.099843750002</v>
      </c>
      <c r="E54" s="23">
        <f t="shared" si="58"/>
        <v>28518.808613281253</v>
      </c>
      <c r="F54" s="23">
        <f t="shared" si="58"/>
        <v>28737.363786621096</v>
      </c>
      <c r="G54" s="23"/>
      <c r="H54" s="57"/>
      <c r="I54" s="17"/>
      <c r="J54" s="17"/>
      <c r="K54" s="17"/>
      <c r="L54" s="17"/>
      <c r="M54" s="23"/>
      <c r="N54" s="18">
        <f t="shared" si="41"/>
        <v>4.2906291925286826E-2</v>
      </c>
      <c r="O54" s="19"/>
      <c r="P54" s="23"/>
      <c r="Q54" s="57"/>
      <c r="R54" s="91">
        <f t="shared" ref="R54" si="59">B54/B59*100</f>
        <v>1921.6792842395043</v>
      </c>
      <c r="S54" s="91">
        <f t="shared" ref="S54" si="60">C54/C59*100</f>
        <v>2056.1093106864105</v>
      </c>
      <c r="T54" s="91">
        <f t="shared" ref="T54" si="61">D54/D59*100</f>
        <v>2023.3741563634301</v>
      </c>
      <c r="U54" s="91">
        <f t="shared" ref="U54" si="62">E54/E59*100</f>
        <v>2094.5840118454153</v>
      </c>
      <c r="V54" s="91">
        <f t="shared" ref="V54" si="63">F54/F59*100</f>
        <v>2205.0368910747734</v>
      </c>
      <c r="W54" s="40"/>
      <c r="X54" s="23"/>
      <c r="Y54" s="28"/>
      <c r="AE54" s="9"/>
      <c r="AF54" s="38"/>
      <c r="AG54" s="38"/>
      <c r="AH54" s="38"/>
      <c r="AI54" s="38"/>
      <c r="AJ54" s="38"/>
    </row>
    <row r="55" spans="1:36" ht="20" thickBot="1" x14ac:dyDescent="0.25">
      <c r="A55" s="61" t="s">
        <v>38</v>
      </c>
      <c r="B55" s="37">
        <f>SUM(B49:B53)</f>
        <v>34958.71</v>
      </c>
      <c r="C55" s="37">
        <f>SUM(C49:C53)</f>
        <v>34510.451249999998</v>
      </c>
      <c r="D55" s="37">
        <f t="shared" ref="D55:E55" si="64">SUM(D49:D53)</f>
        <v>37357.099843750002</v>
      </c>
      <c r="E55" s="37">
        <f t="shared" si="64"/>
        <v>39048.808613281253</v>
      </c>
      <c r="F55" s="37">
        <f>SUM(F49:F53)</f>
        <v>41378.363786621107</v>
      </c>
      <c r="G55" s="23"/>
      <c r="H55" s="57"/>
      <c r="I55" s="17"/>
      <c r="J55" s="17"/>
      <c r="K55" s="17"/>
      <c r="L55" s="17"/>
      <c r="M55" s="23"/>
      <c r="N55" s="18">
        <f t="shared" si="41"/>
        <v>4.304844208751453E-2</v>
      </c>
      <c r="O55" s="19"/>
      <c r="P55" s="23"/>
      <c r="Q55" s="57"/>
      <c r="R55" s="91">
        <f t="shared" ref="R55" si="65">B55/B61*100</f>
        <v>200.79165144591408</v>
      </c>
      <c r="S55" s="91">
        <f t="shared" ref="S55" si="66">C55/C61*100</f>
        <v>195.19154793753501</v>
      </c>
      <c r="T55" s="91">
        <f t="shared" ref="T55" si="67">D55/D61*100</f>
        <v>184.98366582181268</v>
      </c>
      <c r="U55" s="91">
        <f t="shared" ref="U55" si="68">E55/E61*100</f>
        <v>179.7419306450297</v>
      </c>
      <c r="V55" s="91">
        <f t="shared" ref="V55" si="69">F55/F61*100</f>
        <v>173.15144230904406</v>
      </c>
      <c r="W55" s="40"/>
      <c r="X55" s="23"/>
      <c r="Y55" s="28"/>
      <c r="AE55" s="9"/>
      <c r="AF55" s="23"/>
      <c r="AG55" s="23"/>
      <c r="AH55" s="23"/>
      <c r="AI55" s="23"/>
      <c r="AJ55" s="23"/>
    </row>
    <row r="56" spans="1:36" ht="20" thickBot="1" x14ac:dyDescent="0.25">
      <c r="B56" s="23"/>
      <c r="C56" s="23"/>
      <c r="D56" s="23"/>
      <c r="E56" s="23"/>
      <c r="F56" s="23"/>
      <c r="G56" s="23"/>
      <c r="H56" s="57"/>
      <c r="M56" s="23"/>
      <c r="N56" s="23"/>
      <c r="O56" s="40"/>
      <c r="P56" s="23"/>
      <c r="Q56" s="57"/>
      <c r="W56" s="40"/>
      <c r="X56" s="23"/>
      <c r="Y56" s="28"/>
      <c r="AE56" s="9"/>
      <c r="AF56" s="38"/>
      <c r="AG56" s="38"/>
      <c r="AH56" s="38"/>
      <c r="AI56" s="38"/>
      <c r="AJ56" s="38"/>
    </row>
    <row r="57" spans="1:36" ht="20" thickBot="1" x14ac:dyDescent="0.25">
      <c r="A57" s="12" t="s">
        <v>39</v>
      </c>
      <c r="B57" s="23">
        <v>2537.79</v>
      </c>
      <c r="C57" s="23">
        <v>2148.0300000000002</v>
      </c>
      <c r="D57" s="23">
        <v>2606.52</v>
      </c>
      <c r="E57" s="23">
        <v>2797.92</v>
      </c>
      <c r="F57" s="23">
        <v>2781.39</v>
      </c>
      <c r="G57" s="53"/>
      <c r="H57" s="54"/>
      <c r="I57" s="17"/>
      <c r="J57" s="17"/>
      <c r="K57" s="17"/>
      <c r="L57" s="17"/>
      <c r="M57" s="55"/>
      <c r="N57" s="18">
        <f>RATE(4,0,-B57,F57)</f>
        <v>2.3178844039966812E-2</v>
      </c>
      <c r="O57" s="19"/>
      <c r="P57" s="53"/>
      <c r="Q57" s="54"/>
      <c r="R57" s="91">
        <f>B57/B55*100</f>
        <v>7.2593925805614674</v>
      </c>
      <c r="S57" s="91">
        <f t="shared" ref="S57:V57" si="70">C57/C55*100</f>
        <v>6.2242883596023697</v>
      </c>
      <c r="T57" s="91">
        <f t="shared" si="70"/>
        <v>6.9773082249479854</v>
      </c>
      <c r="U57" s="91">
        <f t="shared" si="70"/>
        <v>7.1651865943187145</v>
      </c>
      <c r="V57" s="91">
        <f t="shared" si="70"/>
        <v>6.7218462632862934</v>
      </c>
      <c r="W57" s="56"/>
      <c r="X57" s="53"/>
      <c r="Y57" s="28"/>
      <c r="AE57" s="9"/>
      <c r="AF57" s="51"/>
      <c r="AG57" s="51"/>
      <c r="AH57" s="51"/>
      <c r="AI57" s="51"/>
      <c r="AJ57" s="51"/>
    </row>
    <row r="58" spans="1:36" ht="20" thickBot="1" x14ac:dyDescent="0.25">
      <c r="A58" s="12" t="s">
        <v>40</v>
      </c>
      <c r="B58" s="23">
        <v>1726.95</v>
      </c>
      <c r="C58" s="23">
        <v>1805.25</v>
      </c>
      <c r="D58" s="23">
        <v>2302.89</v>
      </c>
      <c r="E58" s="23">
        <v>2747.46</v>
      </c>
      <c r="F58" s="23">
        <v>3034.56</v>
      </c>
      <c r="G58" s="23"/>
      <c r="H58" s="57"/>
      <c r="I58" s="17"/>
      <c r="J58" s="17"/>
      <c r="K58" s="17"/>
      <c r="L58" s="17"/>
      <c r="M58" s="23"/>
      <c r="N58" s="18">
        <f t="shared" ref="N58:N67" si="71">RATE(4,0,-B58,F58)</f>
        <v>0.15134105526038374</v>
      </c>
      <c r="O58" s="19"/>
      <c r="P58" s="23"/>
      <c r="Q58" s="57"/>
      <c r="R58" s="91">
        <f>B58/B55*100</f>
        <v>4.9399706110437149</v>
      </c>
      <c r="S58" s="91">
        <f t="shared" ref="S58:V58" si="72">C58/C55*100</f>
        <v>5.2310240365228493</v>
      </c>
      <c r="T58" s="91">
        <f t="shared" si="72"/>
        <v>6.1645309984770753</v>
      </c>
      <c r="U58" s="91">
        <f t="shared" si="72"/>
        <v>7.0359637017594849</v>
      </c>
      <c r="V58" s="91">
        <f t="shared" si="72"/>
        <v>7.333687759256363</v>
      </c>
      <c r="W58" s="40"/>
      <c r="X58" s="23"/>
      <c r="Y58" s="28"/>
      <c r="AE58" s="9"/>
      <c r="AF58" s="58"/>
      <c r="AG58" s="58"/>
      <c r="AH58" s="58"/>
      <c r="AI58" s="58"/>
      <c r="AJ58" s="58"/>
    </row>
    <row r="59" spans="1:36" ht="20" thickBot="1" x14ac:dyDescent="0.25">
      <c r="A59" s="12" t="s">
        <v>41</v>
      </c>
      <c r="B59" s="23">
        <v>1264.1099999999999</v>
      </c>
      <c r="C59" s="23">
        <v>1171.02</v>
      </c>
      <c r="D59" s="23">
        <v>1322.4</v>
      </c>
      <c r="E59" s="23">
        <v>1361.55</v>
      </c>
      <c r="F59" s="23">
        <v>1303.26</v>
      </c>
      <c r="G59" s="23"/>
      <c r="H59" s="57"/>
      <c r="I59" s="17"/>
      <c r="J59" s="17"/>
      <c r="K59" s="17"/>
      <c r="L59" s="17"/>
      <c r="M59" s="23"/>
      <c r="N59" s="18">
        <f t="shared" si="71"/>
        <v>7.6542704267590442E-3</v>
      </c>
      <c r="O59" s="19"/>
      <c r="P59" s="23"/>
      <c r="Q59" s="57"/>
      <c r="R59" s="91">
        <f t="shared" ref="R59" si="73">B59/B57*100</f>
        <v>49.811450119986283</v>
      </c>
      <c r="S59" s="91">
        <f t="shared" ref="S59" si="74">C59/C57*100</f>
        <v>54.51599837991089</v>
      </c>
      <c r="T59" s="91">
        <f t="shared" ref="T59" si="75">D59/D57*100</f>
        <v>50.734312416555419</v>
      </c>
      <c r="U59" s="91">
        <f t="shared" ref="U59" si="76">E59/E57*100</f>
        <v>48.662935323383081</v>
      </c>
      <c r="V59" s="91">
        <f t="shared" ref="V59" si="77">F59/F57*100</f>
        <v>46.856427901157339</v>
      </c>
      <c r="W59" s="40"/>
      <c r="X59" s="23"/>
      <c r="Y59" s="28"/>
      <c r="AE59" s="9"/>
      <c r="AF59" s="58"/>
      <c r="AG59" s="58"/>
      <c r="AH59" s="58"/>
      <c r="AI59" s="58"/>
      <c r="AJ59" s="58"/>
    </row>
    <row r="60" spans="1:36" ht="20" thickBot="1" x14ac:dyDescent="0.25">
      <c r="A60" s="12" t="s">
        <v>42</v>
      </c>
      <c r="B60" s="23">
        <v>11881.59</v>
      </c>
      <c r="C60" s="23">
        <v>12556</v>
      </c>
      <c r="D60" s="23">
        <v>13963</v>
      </c>
      <c r="E60" s="23">
        <v>14818</v>
      </c>
      <c r="F60" s="23">
        <v>16778</v>
      </c>
      <c r="G60" s="23"/>
      <c r="H60" s="57"/>
      <c r="I60" s="17"/>
      <c r="J60" s="17"/>
      <c r="K60" s="17"/>
      <c r="L60" s="17"/>
      <c r="M60" s="23"/>
      <c r="N60" s="18">
        <f t="shared" si="71"/>
        <v>9.0100169088864618E-2</v>
      </c>
      <c r="O60" s="19"/>
      <c r="P60" s="23"/>
      <c r="Q60" s="57"/>
      <c r="R60" s="91">
        <f t="shared" ref="R60" si="78">B60/B57*100</f>
        <v>468.1864929722318</v>
      </c>
      <c r="S60" s="91">
        <f t="shared" ref="S60" si="79">C60/C57*100</f>
        <v>584.53559773373729</v>
      </c>
      <c r="T60" s="91">
        <f t="shared" ref="T60" si="80">D60/D57*100</f>
        <v>535.69510304927644</v>
      </c>
      <c r="U60" s="91">
        <f t="shared" ref="U60" si="81">E60/E57*100</f>
        <v>529.60770858351918</v>
      </c>
      <c r="V60" s="91">
        <f t="shared" ref="V60" si="82">F60/F57*100</f>
        <v>603.22356807207905</v>
      </c>
      <c r="W60" s="40"/>
      <c r="X60" s="23"/>
      <c r="Y60" s="28"/>
      <c r="AE60" s="9"/>
      <c r="AF60" s="58"/>
      <c r="AG60" s="58"/>
      <c r="AH60" s="58"/>
      <c r="AI60" s="58"/>
      <c r="AJ60" s="58"/>
    </row>
    <row r="61" spans="1:36" ht="20" thickBot="1" x14ac:dyDescent="0.25">
      <c r="A61" s="61" t="s">
        <v>43</v>
      </c>
      <c r="B61" s="37">
        <f>SUM(B57:B60)</f>
        <v>17410.439999999999</v>
      </c>
      <c r="C61" s="37">
        <f t="shared" ref="C61:F61" si="83">SUM(C57:C60)</f>
        <v>17680.3</v>
      </c>
      <c r="D61" s="37">
        <f t="shared" si="83"/>
        <v>20194.809999999998</v>
      </c>
      <c r="E61" s="37">
        <f t="shared" si="83"/>
        <v>21724.93</v>
      </c>
      <c r="F61" s="37">
        <f t="shared" si="83"/>
        <v>23897.21</v>
      </c>
      <c r="G61" s="23"/>
      <c r="H61" s="57"/>
      <c r="I61" s="17"/>
      <c r="J61" s="17"/>
      <c r="K61" s="17"/>
      <c r="L61" s="17"/>
      <c r="M61" s="23"/>
      <c r="N61" s="18">
        <f t="shared" si="71"/>
        <v>8.2391475573897671E-2</v>
      </c>
      <c r="O61" s="19"/>
      <c r="P61" s="23"/>
      <c r="Q61" s="57"/>
      <c r="R61" s="91">
        <f t="shared" ref="R61" si="84">B61/B59*100</f>
        <v>1377.2883688919476</v>
      </c>
      <c r="S61" s="91">
        <f t="shared" ref="S61" si="85">C61/C59*100</f>
        <v>1509.8204983689434</v>
      </c>
      <c r="T61" s="91">
        <f t="shared" ref="T61" si="86">D61/D59*100</f>
        <v>1527.1332425892315</v>
      </c>
      <c r="U61" s="91">
        <f t="shared" ref="U61" si="87">E61/E59*100</f>
        <v>1595.6028056259411</v>
      </c>
      <c r="V61" s="91">
        <f t="shared" ref="V61" si="88">F61/F59*100</f>
        <v>1833.6486963460861</v>
      </c>
      <c r="W61" s="40"/>
      <c r="X61" s="23"/>
      <c r="Y61" s="28"/>
      <c r="AE61" s="9"/>
      <c r="AF61" s="59"/>
      <c r="AG61" s="58"/>
      <c r="AH61" s="59"/>
      <c r="AI61" s="58"/>
      <c r="AJ61" s="59"/>
    </row>
    <row r="62" spans="1:36" ht="20" thickBot="1" x14ac:dyDescent="0.25">
      <c r="B62" s="53"/>
      <c r="C62" s="53"/>
      <c r="D62" s="53">
        <f>D63-C63</f>
        <v>1720.2392723692574</v>
      </c>
      <c r="E62" s="53"/>
      <c r="F62" s="53"/>
      <c r="G62" s="44"/>
      <c r="H62" s="62"/>
      <c r="M62" s="45"/>
      <c r="N62" s="55"/>
      <c r="O62" s="56"/>
      <c r="P62" s="44"/>
      <c r="Q62" s="62"/>
      <c r="W62" s="46"/>
      <c r="X62" s="44"/>
      <c r="Y62" s="28"/>
      <c r="AE62" s="9"/>
      <c r="AF62" s="63"/>
      <c r="AG62" s="63"/>
      <c r="AH62" s="63"/>
      <c r="AI62" s="63"/>
      <c r="AJ62" s="63"/>
    </row>
    <row r="63" spans="1:36" ht="20" thickBot="1" x14ac:dyDescent="0.25">
      <c r="A63" s="12" t="s">
        <v>44</v>
      </c>
      <c r="B63" s="23">
        <v>10506.12</v>
      </c>
      <c r="C63" s="23">
        <v>10506.12</v>
      </c>
      <c r="D63" s="23">
        <v>12226.359272369258</v>
      </c>
      <c r="E63" s="23">
        <v>12226.359272369258</v>
      </c>
      <c r="F63" s="23">
        <v>14426</v>
      </c>
      <c r="G63" s="44"/>
      <c r="H63" s="62"/>
      <c r="I63" s="17"/>
      <c r="J63" s="17"/>
      <c r="K63" s="17"/>
      <c r="L63" s="17"/>
      <c r="M63" s="45"/>
      <c r="N63" s="18">
        <f t="shared" si="71"/>
        <v>8.2494984245905983E-2</v>
      </c>
      <c r="O63" s="19"/>
      <c r="P63" s="44"/>
      <c r="Q63" s="62"/>
      <c r="R63" s="91">
        <f>B63/B55*100</f>
        <v>30.052939596455364</v>
      </c>
      <c r="S63" s="91">
        <f t="shared" ref="S63:V63" si="89">C63/C55*100</f>
        <v>30.443299404843344</v>
      </c>
      <c r="T63" s="91">
        <f t="shared" si="89"/>
        <v>32.728341663317792</v>
      </c>
      <c r="U63" s="91">
        <f t="shared" si="89"/>
        <v>31.310454035749601</v>
      </c>
      <c r="V63" s="91">
        <f t="shared" si="89"/>
        <v>34.86363084435051</v>
      </c>
      <c r="W63" s="46"/>
      <c r="X63" s="44"/>
      <c r="Y63" s="28"/>
      <c r="AE63" s="9"/>
      <c r="AF63" s="63"/>
      <c r="AG63" s="63"/>
      <c r="AH63" s="63"/>
      <c r="AI63" s="63"/>
      <c r="AJ63" s="63"/>
    </row>
    <row r="64" spans="1:36" ht="20" thickBot="1" x14ac:dyDescent="0.25">
      <c r="A64" s="12" t="s">
        <v>45</v>
      </c>
      <c r="B64" s="23">
        <v>7042</v>
      </c>
      <c r="C64" s="23">
        <f>B64+C42-(C71*C72)</f>
        <v>6323.6112779435625</v>
      </c>
      <c r="D64" s="23">
        <f>C64+D42-(D71*D72)</f>
        <v>4936.0493806572067</v>
      </c>
      <c r="E64" s="23">
        <f>D64+E42-(E71*E72)</f>
        <v>5097.7338056329809</v>
      </c>
      <c r="F64" s="23">
        <f>E64+F42-(F71*F72)</f>
        <v>3054.3192805434428</v>
      </c>
      <c r="G64" s="23"/>
      <c r="H64" s="57"/>
      <c r="I64" s="17"/>
      <c r="J64" s="17"/>
      <c r="K64" s="17"/>
      <c r="L64" s="17"/>
      <c r="M64" s="23"/>
      <c r="N64" s="18">
        <f t="shared" si="71"/>
        <v>-0.18846995492503357</v>
      </c>
      <c r="O64" s="19"/>
      <c r="P64" s="23"/>
      <c r="Q64" s="57"/>
      <c r="R64" s="91">
        <f>B64/B55*100</f>
        <v>20.143763886024399</v>
      </c>
      <c r="S64" s="91">
        <f t="shared" ref="S64:V64" si="90">C64/C55*100</f>
        <v>18.323757148621937</v>
      </c>
      <c r="T64" s="91">
        <f t="shared" si="90"/>
        <v>13.213149311115563</v>
      </c>
      <c r="U64" s="91">
        <f t="shared" si="90"/>
        <v>13.054774234262151</v>
      </c>
      <c r="V64" s="91">
        <f t="shared" si="90"/>
        <v>7.3814404462532126</v>
      </c>
      <c r="W64" s="40"/>
      <c r="X64" s="23"/>
      <c r="Y64" s="28"/>
      <c r="AE64" s="9"/>
      <c r="AF64" s="58"/>
      <c r="AG64" s="58"/>
      <c r="AH64" s="58"/>
      <c r="AI64" s="58"/>
      <c r="AJ64" s="58"/>
    </row>
    <row r="65" spans="1:37" ht="20" thickBot="1" x14ac:dyDescent="0.25">
      <c r="A65" s="61" t="s">
        <v>46</v>
      </c>
      <c r="B65" s="37">
        <f>SUM(B63:B64)</f>
        <v>17548.120000000003</v>
      </c>
      <c r="C65" s="37">
        <f t="shared" ref="C65:E65" si="91">SUM(C63:C64)</f>
        <v>16829.731277943563</v>
      </c>
      <c r="D65" s="37">
        <f t="shared" si="91"/>
        <v>17162.408653026465</v>
      </c>
      <c r="E65" s="37">
        <f t="shared" si="91"/>
        <v>17324.093078002239</v>
      </c>
      <c r="F65" s="37">
        <f>SUM(F63:F64)</f>
        <v>17480.319280543445</v>
      </c>
      <c r="G65" s="23"/>
      <c r="H65" s="57"/>
      <c r="I65" s="17"/>
      <c r="J65" s="17"/>
      <c r="K65" s="17"/>
      <c r="L65" s="17"/>
      <c r="M65" s="23"/>
      <c r="N65" s="18">
        <f t="shared" si="71"/>
        <v>-9.6732836818633303E-4</v>
      </c>
      <c r="O65" s="19"/>
      <c r="P65" s="23"/>
      <c r="Q65" s="57"/>
      <c r="R65" s="91">
        <f>B65/B57*100</f>
        <v>691.47250166483445</v>
      </c>
      <c r="S65" s="91">
        <f t="shared" ref="S65:V65" si="92">C65/C57*100</f>
        <v>783.49610005184104</v>
      </c>
      <c r="T65" s="91">
        <f t="shared" si="92"/>
        <v>658.44147188690147</v>
      </c>
      <c r="U65" s="91">
        <f t="shared" si="92"/>
        <v>619.17757040952699</v>
      </c>
      <c r="V65" s="91">
        <f t="shared" si="92"/>
        <v>628.47422621579301</v>
      </c>
      <c r="W65" s="40"/>
      <c r="X65" s="23"/>
      <c r="Y65" s="28"/>
      <c r="AE65" s="9"/>
      <c r="AF65" s="58"/>
      <c r="AG65" s="58"/>
      <c r="AH65" s="58"/>
      <c r="AI65" s="58"/>
      <c r="AJ65" s="58"/>
    </row>
    <row r="66" spans="1:37" ht="20" thickBot="1" x14ac:dyDescent="0.25">
      <c r="A66" s="61"/>
      <c r="B66" s="37"/>
      <c r="C66" s="37"/>
      <c r="D66" s="37"/>
      <c r="E66" s="37"/>
      <c r="F66" s="37"/>
      <c r="G66" s="23"/>
      <c r="H66" s="57"/>
      <c r="I66" s="23"/>
      <c r="J66" s="23"/>
      <c r="K66" s="23"/>
      <c r="L66" s="23"/>
      <c r="M66" s="23"/>
      <c r="N66" s="23"/>
      <c r="O66" s="40"/>
      <c r="P66" s="23"/>
      <c r="Q66" s="57"/>
      <c r="W66" s="40"/>
      <c r="X66" s="23"/>
      <c r="Y66" s="28"/>
      <c r="AE66" s="9"/>
      <c r="AF66" s="58"/>
      <c r="AG66" s="58"/>
      <c r="AH66" s="58"/>
      <c r="AI66" s="58"/>
      <c r="AJ66" s="58"/>
    </row>
    <row r="67" spans="1:37" ht="20" thickBot="1" x14ac:dyDescent="0.25">
      <c r="A67" s="61" t="s">
        <v>47</v>
      </c>
      <c r="B67" s="37">
        <f>B61+B65</f>
        <v>34958.559999999998</v>
      </c>
      <c r="C67" s="37">
        <f>C61+C65</f>
        <v>34510.031277943563</v>
      </c>
      <c r="D67" s="37">
        <f>D61+D65</f>
        <v>37357.218653026459</v>
      </c>
      <c r="E67" s="37">
        <f>E61+E65</f>
        <v>39049.023078002239</v>
      </c>
      <c r="F67" s="37">
        <f>F61+F65</f>
        <v>41377.529280543444</v>
      </c>
      <c r="G67" s="23"/>
      <c r="H67" s="57"/>
      <c r="I67" s="17"/>
      <c r="J67" s="17"/>
      <c r="K67" s="17"/>
      <c r="L67" s="17"/>
      <c r="M67" s="23"/>
      <c r="N67" s="18">
        <f t="shared" si="71"/>
        <v>4.304430194713868E-2</v>
      </c>
      <c r="O67" s="19"/>
      <c r="P67" s="23"/>
      <c r="Q67" s="57"/>
      <c r="R67" s="91">
        <f>B67/B55*100</f>
        <v>99.999570922382432</v>
      </c>
      <c r="S67" s="91">
        <f t="shared" ref="S67:V67" si="93">C67/C55*100</f>
        <v>99.998783058345438</v>
      </c>
      <c r="T67" s="91">
        <f t="shared" si="93"/>
        <v>100.00031803667029</v>
      </c>
      <c r="U67" s="91">
        <f t="shared" si="93"/>
        <v>100.00054922218781</v>
      </c>
      <c r="V67" s="91">
        <f t="shared" si="93"/>
        <v>99.997983230845065</v>
      </c>
      <c r="W67" s="40"/>
      <c r="X67" s="23"/>
      <c r="Y67" s="28"/>
      <c r="AE67" s="9"/>
      <c r="AF67" s="58"/>
      <c r="AG67" s="58"/>
      <c r="AH67" s="58"/>
      <c r="AI67" s="58"/>
      <c r="AJ67" s="58"/>
    </row>
    <row r="68" spans="1:37" ht="20" thickBot="1" x14ac:dyDescent="0.25">
      <c r="B68" s="23"/>
      <c r="C68" s="23"/>
      <c r="D68" s="23"/>
      <c r="E68" s="23"/>
      <c r="F68" s="23"/>
      <c r="G68" s="23"/>
      <c r="H68" s="57"/>
      <c r="I68" s="23"/>
      <c r="J68" s="23"/>
      <c r="K68" s="23"/>
      <c r="L68" s="23"/>
      <c r="M68" s="23"/>
      <c r="N68" s="23"/>
      <c r="O68" s="40"/>
      <c r="P68" s="23"/>
      <c r="Q68" s="64"/>
      <c r="R68" s="65"/>
      <c r="S68" s="65"/>
      <c r="T68" s="65"/>
      <c r="U68" s="65"/>
      <c r="V68" s="65"/>
      <c r="W68" s="66"/>
      <c r="X68" s="23"/>
      <c r="Y68" s="28"/>
      <c r="AE68" s="9"/>
      <c r="AF68" s="58"/>
      <c r="AG68" s="58"/>
      <c r="AH68" s="58"/>
      <c r="AI68" s="58"/>
      <c r="AJ68" s="58"/>
    </row>
    <row r="69" spans="1:37" ht="20" thickBot="1" x14ac:dyDescent="0.25">
      <c r="A69" s="61" t="s">
        <v>48</v>
      </c>
      <c r="B69" s="37"/>
      <c r="C69" s="37"/>
      <c r="D69" s="37"/>
      <c r="E69" s="37"/>
      <c r="F69" s="37"/>
      <c r="G69" s="23"/>
      <c r="H69" s="57"/>
      <c r="I69" s="23"/>
      <c r="J69" s="23"/>
      <c r="K69" s="23"/>
      <c r="L69" s="23"/>
      <c r="M69" s="23"/>
      <c r="N69" s="37"/>
      <c r="O69" s="50"/>
      <c r="P69" s="23"/>
      <c r="Q69" s="23"/>
      <c r="R69" s="23"/>
      <c r="S69" s="23"/>
      <c r="T69" s="23"/>
      <c r="U69" s="23"/>
      <c r="V69" s="23"/>
      <c r="W69" s="23"/>
      <c r="X69" s="23"/>
      <c r="Y69" s="28"/>
      <c r="AE69" s="9"/>
      <c r="AF69" s="58"/>
      <c r="AG69" s="58"/>
      <c r="AH69" s="58"/>
      <c r="AI69" s="58"/>
      <c r="AJ69" s="58"/>
    </row>
    <row r="70" spans="1:37" ht="19.5" customHeight="1" thickBot="1" x14ac:dyDescent="0.25">
      <c r="A70" s="61" t="s">
        <v>49</v>
      </c>
      <c r="B70" s="37">
        <v>2113</v>
      </c>
      <c r="C70" s="37">
        <v>3034</v>
      </c>
      <c r="D70" s="37">
        <v>6455</v>
      </c>
      <c r="E70" s="37">
        <v>6305</v>
      </c>
      <c r="F70" s="37">
        <v>5194</v>
      </c>
      <c r="G70" s="23"/>
      <c r="H70" s="57"/>
      <c r="I70" s="17"/>
      <c r="J70" s="17"/>
      <c r="K70" s="17"/>
      <c r="L70" s="17"/>
      <c r="M70" s="23"/>
      <c r="N70" s="18">
        <f>RATE(4,0,-B70,F70)</f>
        <v>0.25213343396910376</v>
      </c>
      <c r="O70" s="19"/>
      <c r="P70" s="23"/>
      <c r="Q70" s="67"/>
      <c r="R70" s="67"/>
      <c r="S70" s="67"/>
      <c r="T70" s="67"/>
      <c r="U70" s="67"/>
      <c r="V70" s="67"/>
      <c r="W70" s="67"/>
      <c r="X70" s="23"/>
      <c r="Y70" s="28"/>
      <c r="AE70" s="9"/>
      <c r="AF70" s="58"/>
      <c r="AG70" s="58"/>
      <c r="AH70" s="58"/>
      <c r="AI70" s="58"/>
      <c r="AJ70" s="58"/>
    </row>
    <row r="71" spans="1:37" ht="20" thickBot="1" x14ac:dyDescent="0.25">
      <c r="A71" s="61" t="s">
        <v>50</v>
      </c>
      <c r="B71" s="68">
        <v>1196.596810933941</v>
      </c>
      <c r="C71" s="68">
        <v>1196.5968109339401</v>
      </c>
      <c r="D71" s="68">
        <v>1240.096810933941</v>
      </c>
      <c r="E71" s="68">
        <v>1240.096810933941</v>
      </c>
      <c r="F71" s="68">
        <v>1290.0999999999999</v>
      </c>
      <c r="G71" s="23"/>
      <c r="H71" s="57"/>
      <c r="I71" s="17"/>
      <c r="J71" s="17"/>
      <c r="K71" s="17"/>
      <c r="L71" s="17"/>
      <c r="M71" s="23"/>
      <c r="N71" s="18">
        <f t="shared" ref="N71:N73" si="94">RATE(4,0,-B71,F71)</f>
        <v>1.8987563416220963E-2</v>
      </c>
      <c r="O71" s="19"/>
      <c r="P71" s="23"/>
      <c r="X71" s="23"/>
      <c r="Y71" s="28"/>
      <c r="AE71" s="9"/>
      <c r="AF71" s="58"/>
      <c r="AG71" s="58"/>
      <c r="AH71" s="58"/>
      <c r="AI71" s="58"/>
      <c r="AJ71" s="58"/>
    </row>
    <row r="72" spans="1:37" ht="20" thickBot="1" x14ac:dyDescent="0.25">
      <c r="A72" s="61" t="s">
        <v>51</v>
      </c>
      <c r="B72" s="69">
        <v>1.827</v>
      </c>
      <c r="C72" s="69">
        <v>2.0880000000000001</v>
      </c>
      <c r="D72" s="69">
        <v>2.3490000000000002</v>
      </c>
      <c r="E72" s="69">
        <v>2.7840000000000003</v>
      </c>
      <c r="F72" s="69">
        <v>3.2190000000000003</v>
      </c>
      <c r="G72" s="23"/>
      <c r="H72" s="57"/>
      <c r="I72" s="17"/>
      <c r="J72" s="17"/>
      <c r="K72" s="17"/>
      <c r="L72" s="17"/>
      <c r="M72" s="23"/>
      <c r="N72" s="18">
        <f t="shared" si="94"/>
        <v>0.152114406718457</v>
      </c>
      <c r="O72" s="19"/>
      <c r="P72" s="23"/>
      <c r="X72" s="23"/>
      <c r="Y72" s="28"/>
      <c r="AE72" s="9"/>
      <c r="AF72" s="58"/>
      <c r="AG72" s="58"/>
      <c r="AH72" s="58"/>
      <c r="AI72" s="58"/>
      <c r="AJ72" s="58"/>
    </row>
    <row r="73" spans="1:37" ht="20" thickBot="1" x14ac:dyDescent="0.25">
      <c r="A73" s="61" t="s">
        <v>52</v>
      </c>
      <c r="B73" s="69">
        <v>42.88</v>
      </c>
      <c r="C73" s="69">
        <v>38.99</v>
      </c>
      <c r="D73" s="69">
        <v>27.66</v>
      </c>
      <c r="E73" s="69">
        <v>43.1</v>
      </c>
      <c r="F73" s="69">
        <v>49.9</v>
      </c>
      <c r="G73" s="23"/>
      <c r="H73" s="57"/>
      <c r="I73" s="17"/>
      <c r="J73" s="17"/>
      <c r="K73" s="17"/>
      <c r="L73" s="17"/>
      <c r="M73" s="23"/>
      <c r="N73" s="18">
        <f t="shared" si="94"/>
        <v>3.863138600101116E-2</v>
      </c>
      <c r="O73" s="19"/>
      <c r="P73" s="23"/>
      <c r="Q73" s="23"/>
      <c r="R73" s="23"/>
      <c r="S73" s="23"/>
      <c r="T73" s="23"/>
      <c r="U73" s="23"/>
      <c r="V73" s="23"/>
      <c r="W73" s="23"/>
      <c r="X73" s="23"/>
      <c r="Y73" s="28"/>
      <c r="AE73" s="9"/>
      <c r="AF73" s="58"/>
      <c r="AG73" s="58"/>
      <c r="AH73" s="58"/>
      <c r="AI73" s="58"/>
      <c r="AJ73" s="58"/>
    </row>
    <row r="74" spans="1:37" ht="20" thickBot="1" x14ac:dyDescent="0.25">
      <c r="B74" s="23"/>
      <c r="C74" s="23"/>
      <c r="D74" s="23"/>
      <c r="E74" s="23"/>
      <c r="F74" s="23"/>
      <c r="G74" s="23"/>
      <c r="H74" s="64"/>
      <c r="I74" s="65"/>
      <c r="J74" s="65"/>
      <c r="K74" s="65"/>
      <c r="L74" s="65"/>
      <c r="M74" s="65"/>
      <c r="N74" s="65"/>
      <c r="O74" s="66"/>
      <c r="P74" s="23"/>
      <c r="Q74" s="23"/>
      <c r="R74" s="32"/>
      <c r="S74" s="23"/>
      <c r="T74" s="23"/>
      <c r="U74" s="23"/>
      <c r="V74" s="23"/>
      <c r="W74" s="23"/>
      <c r="X74" s="23"/>
      <c r="Y74" s="28"/>
      <c r="AE74" s="9"/>
      <c r="AF74" s="58"/>
      <c r="AG74" s="58"/>
      <c r="AH74" s="58"/>
      <c r="AI74" s="58"/>
      <c r="AJ74" s="58"/>
    </row>
    <row r="75" spans="1:37" ht="9.75" customHeight="1" thickBot="1" x14ac:dyDescent="0.25">
      <c r="B75" s="23"/>
      <c r="C75" s="23"/>
      <c r="D75" s="23"/>
      <c r="E75" s="23"/>
      <c r="F75" s="23"/>
      <c r="G75" s="23"/>
      <c r="H75" s="23"/>
      <c r="I75" s="23"/>
      <c r="J75" s="23"/>
      <c r="K75" s="23"/>
      <c r="L75" s="23"/>
      <c r="M75" s="23"/>
      <c r="N75" s="23"/>
      <c r="O75" s="23"/>
      <c r="P75" s="23"/>
      <c r="Q75" s="70"/>
      <c r="R75" s="32"/>
      <c r="S75" s="23"/>
      <c r="T75" s="23"/>
      <c r="U75" s="23"/>
      <c r="V75" s="23"/>
      <c r="W75" s="70"/>
      <c r="X75" s="23"/>
      <c r="Y75" s="28"/>
      <c r="AE75" s="9"/>
      <c r="AF75" s="58"/>
      <c r="AG75" s="58"/>
      <c r="AH75" s="58"/>
      <c r="AI75" s="58"/>
      <c r="AJ75" s="58"/>
    </row>
    <row r="76" spans="1:37" ht="24" customHeight="1" thickBot="1" x14ac:dyDescent="0.25">
      <c r="A76" s="99" t="s">
        <v>53</v>
      </c>
      <c r="B76" s="100"/>
      <c r="C76" s="100"/>
      <c r="D76" s="100"/>
      <c r="E76" s="100"/>
      <c r="F76" s="101"/>
      <c r="G76" s="67"/>
      <c r="H76" s="67"/>
      <c r="I76" s="67"/>
      <c r="J76" s="67"/>
      <c r="K76" s="67"/>
      <c r="L76" s="67"/>
      <c r="M76" s="67"/>
      <c r="N76" s="67"/>
      <c r="O76" s="67"/>
      <c r="P76" s="67"/>
      <c r="Q76" s="20"/>
      <c r="R76" s="32"/>
      <c r="S76" s="23"/>
      <c r="T76" s="23"/>
      <c r="U76" s="23"/>
      <c r="V76" s="23"/>
      <c r="W76" s="20"/>
      <c r="X76" s="67"/>
      <c r="Y76" s="67"/>
      <c r="Z76" s="67"/>
      <c r="AA76" s="67"/>
      <c r="AB76" s="67"/>
      <c r="AC76" s="67"/>
      <c r="AD76" s="67"/>
      <c r="AE76" s="58"/>
      <c r="AF76" s="58"/>
      <c r="AG76" s="58"/>
      <c r="AH76" s="58"/>
      <c r="AI76" s="58"/>
      <c r="AJ76" s="58"/>
    </row>
    <row r="77" spans="1:37" ht="20" thickBot="1" x14ac:dyDescent="0.25">
      <c r="B77" s="23"/>
      <c r="C77" s="23"/>
      <c r="D77" s="23"/>
      <c r="E77" s="23"/>
      <c r="F77" s="23"/>
      <c r="G77" s="23"/>
      <c r="H77" s="23"/>
      <c r="I77" s="23"/>
      <c r="J77" s="23"/>
      <c r="K77" s="23"/>
      <c r="L77" s="23"/>
      <c r="M77" s="23"/>
      <c r="N77" s="23"/>
      <c r="O77" s="23"/>
      <c r="P77" s="23"/>
      <c r="Q77" s="20"/>
      <c r="R77" s="32"/>
      <c r="S77" s="23"/>
      <c r="T77" s="23"/>
      <c r="U77" s="23"/>
      <c r="V77" s="23"/>
      <c r="W77" s="20"/>
      <c r="X77" s="23"/>
      <c r="Y77" s="23"/>
      <c r="Z77" s="23"/>
      <c r="AA77" s="23"/>
      <c r="AB77" s="23"/>
      <c r="AC77" s="23"/>
      <c r="AD77" s="23"/>
      <c r="AE77" s="58"/>
      <c r="AF77" s="58"/>
      <c r="AG77" s="58"/>
      <c r="AH77" s="58"/>
      <c r="AI77" s="58"/>
      <c r="AJ77" s="58"/>
    </row>
    <row r="78" spans="1:37" ht="22" thickBot="1" x14ac:dyDescent="0.25">
      <c r="A78" s="13" t="s">
        <v>54</v>
      </c>
      <c r="B78" s="23"/>
      <c r="C78" s="23"/>
      <c r="D78" s="23"/>
      <c r="E78" s="23"/>
      <c r="F78" s="23"/>
      <c r="G78" s="23"/>
      <c r="H78" s="23"/>
      <c r="I78" s="23"/>
      <c r="J78" s="23"/>
      <c r="K78" s="23"/>
      <c r="L78" s="23"/>
      <c r="M78" s="23"/>
      <c r="N78" s="23"/>
      <c r="O78" s="23"/>
      <c r="P78" s="23"/>
      <c r="Q78" s="70"/>
      <c r="R78" s="32"/>
      <c r="S78" s="23"/>
      <c r="T78" s="23"/>
      <c r="U78" s="23"/>
      <c r="V78" s="23"/>
      <c r="W78" s="70"/>
      <c r="X78" s="23"/>
      <c r="Y78" s="23"/>
      <c r="Z78" s="32"/>
      <c r="AA78" s="23"/>
      <c r="AB78" s="23"/>
      <c r="AC78" s="23"/>
      <c r="AD78" s="23"/>
      <c r="AE78" s="23"/>
      <c r="AF78" s="58"/>
      <c r="AG78" s="58"/>
      <c r="AH78" s="58"/>
      <c r="AI78" s="58"/>
      <c r="AJ78" s="58"/>
      <c r="AK78" s="58"/>
    </row>
    <row r="79" spans="1:37" ht="20" thickBot="1" x14ac:dyDescent="0.25">
      <c r="A79" s="14" t="s">
        <v>106</v>
      </c>
      <c r="B79" s="93"/>
      <c r="C79" s="94">
        <f>((C7-B7)/B7)*100</f>
        <v>0.49999999999998951</v>
      </c>
      <c r="D79" s="94">
        <f t="shared" ref="D79:F79" si="95">((D7-C7)/C7)*100</f>
        <v>0.59999999999999931</v>
      </c>
      <c r="E79" s="94">
        <f t="shared" si="95"/>
        <v>0.29999999999999</v>
      </c>
      <c r="F79" s="94">
        <f t="shared" si="95"/>
        <v>0.20000000000001505</v>
      </c>
      <c r="G79" s="70"/>
      <c r="H79" s="70"/>
      <c r="I79" s="23"/>
      <c r="J79" s="23"/>
      <c r="K79" s="23"/>
      <c r="L79" s="23"/>
      <c r="M79" s="70"/>
      <c r="N79" s="20"/>
      <c r="O79" s="20"/>
      <c r="P79" s="70"/>
      <c r="Q79" s="70"/>
      <c r="R79" s="32"/>
      <c r="S79" s="23"/>
      <c r="T79" s="23"/>
      <c r="U79" s="23"/>
      <c r="V79" s="23"/>
      <c r="W79" s="70"/>
      <c r="X79" s="70"/>
      <c r="Y79" s="70"/>
      <c r="Z79" s="32"/>
      <c r="AA79" s="23"/>
      <c r="AB79" s="23"/>
      <c r="AC79" s="23"/>
      <c r="AD79" s="23"/>
      <c r="AE79" s="23"/>
      <c r="AF79" s="58"/>
      <c r="AG79" s="58"/>
      <c r="AH79" s="58"/>
      <c r="AI79" s="58"/>
      <c r="AJ79" s="58"/>
      <c r="AK79" s="58"/>
    </row>
    <row r="80" spans="1:37" ht="20" thickBot="1" x14ac:dyDescent="0.25">
      <c r="A80" s="12" t="s">
        <v>107</v>
      </c>
      <c r="B80" s="90">
        <f>B8/B7*100</f>
        <v>41</v>
      </c>
      <c r="C80" s="90">
        <f t="shared" ref="C80:F80" si="96">C8/C7*100</f>
        <v>42.699999999999996</v>
      </c>
      <c r="D80" s="90">
        <f t="shared" si="96"/>
        <v>43.499999999999993</v>
      </c>
      <c r="E80" s="90">
        <f t="shared" si="96"/>
        <v>44.9</v>
      </c>
      <c r="F80" s="90">
        <f t="shared" si="96"/>
        <v>45.699999999999996</v>
      </c>
      <c r="G80" s="20"/>
      <c r="H80" s="20"/>
      <c r="I80" s="23"/>
      <c r="J80" s="23"/>
      <c r="K80" s="23"/>
      <c r="L80" s="23"/>
      <c r="M80" s="20"/>
      <c r="N80" s="20"/>
      <c r="O80" s="20"/>
      <c r="P80" s="20"/>
      <c r="Q80" s="20"/>
      <c r="R80" s="32"/>
      <c r="S80" s="23"/>
      <c r="T80" s="23"/>
      <c r="U80" s="23"/>
      <c r="V80" s="23"/>
      <c r="W80" s="20"/>
      <c r="X80" s="20"/>
      <c r="Y80" s="20"/>
      <c r="Z80" s="32"/>
      <c r="AA80" s="23"/>
      <c r="AB80" s="23"/>
      <c r="AC80" s="23"/>
      <c r="AD80" s="23"/>
      <c r="AE80" s="23"/>
      <c r="AF80" s="58"/>
      <c r="AG80" s="58"/>
      <c r="AH80" s="58"/>
      <c r="AI80" s="58"/>
      <c r="AJ80" s="58"/>
      <c r="AK80" s="58"/>
    </row>
    <row r="81" spans="1:37" ht="20" hidden="1" customHeight="1" thickBot="1" x14ac:dyDescent="0.25">
      <c r="A81" s="12" t="s">
        <v>101</v>
      </c>
      <c r="B81" s="95"/>
      <c r="C81" s="95"/>
      <c r="D81" s="95"/>
      <c r="E81" s="95"/>
      <c r="F81" s="95"/>
      <c r="G81" s="20"/>
      <c r="H81" s="20"/>
      <c r="I81" s="23"/>
      <c r="J81" s="23"/>
      <c r="K81" s="23"/>
      <c r="L81" s="23"/>
      <c r="M81" s="20"/>
      <c r="N81" s="22"/>
      <c r="O81" s="22"/>
      <c r="P81" s="20"/>
      <c r="Q81" s="23"/>
      <c r="R81" s="32"/>
      <c r="S81" s="23"/>
      <c r="T81" s="23"/>
      <c r="U81" s="23"/>
      <c r="V81" s="23"/>
      <c r="W81" s="23"/>
      <c r="X81" s="20"/>
      <c r="Y81" s="20"/>
      <c r="Z81" s="32"/>
      <c r="AA81" s="23"/>
      <c r="AB81" s="23"/>
      <c r="AC81" s="23"/>
      <c r="AD81" s="23"/>
      <c r="AE81" s="23"/>
      <c r="AF81" s="58"/>
      <c r="AG81" s="58"/>
      <c r="AH81" s="58"/>
      <c r="AI81" s="58"/>
      <c r="AJ81" s="58"/>
      <c r="AK81" s="58"/>
    </row>
    <row r="82" spans="1:37" ht="20" thickBot="1" x14ac:dyDescent="0.25">
      <c r="B82" s="96"/>
      <c r="C82" s="96"/>
      <c r="D82" s="96"/>
      <c r="E82" s="96"/>
      <c r="F82" s="96"/>
      <c r="G82" s="20"/>
      <c r="H82" s="26"/>
      <c r="I82" s="20"/>
      <c r="J82" s="23"/>
      <c r="K82" s="32"/>
      <c r="L82" s="23"/>
      <c r="M82" s="23"/>
      <c r="N82" s="23"/>
      <c r="O82" s="23"/>
      <c r="P82" s="23"/>
      <c r="Q82" s="58"/>
      <c r="R82" s="58"/>
      <c r="S82" s="58"/>
      <c r="T82" s="58"/>
      <c r="U82" s="58"/>
      <c r="V82" s="58"/>
    </row>
    <row r="83" spans="1:37" ht="20" thickBot="1" x14ac:dyDescent="0.25">
      <c r="A83" s="12" t="s">
        <v>109</v>
      </c>
      <c r="B83" s="93"/>
      <c r="C83" s="97">
        <f>((C10-B10)/B10)*100</f>
        <v>2.1299560686149235</v>
      </c>
      <c r="D83" s="97">
        <f t="shared" ref="D83:F83" si="97">((D10-C10)/C10)*100</f>
        <v>3.6364034201157573</v>
      </c>
      <c r="E83" s="97">
        <f t="shared" si="97"/>
        <v>3.4954011050881237</v>
      </c>
      <c r="F83" s="97">
        <f t="shared" si="97"/>
        <v>2.5806224582265678</v>
      </c>
      <c r="G83" s="70"/>
      <c r="H83" s="20"/>
      <c r="I83" s="70"/>
      <c r="J83" s="23"/>
      <c r="K83" s="32"/>
      <c r="L83" s="23"/>
      <c r="M83" s="23"/>
      <c r="N83" s="23"/>
      <c r="O83" s="23"/>
      <c r="P83" s="23"/>
      <c r="Q83" s="58"/>
      <c r="R83" s="58"/>
      <c r="S83" s="58"/>
      <c r="T83" s="58"/>
      <c r="U83" s="58"/>
      <c r="V83" s="58"/>
    </row>
    <row r="84" spans="1:37" ht="20" thickBot="1" x14ac:dyDescent="0.25">
      <c r="A84" s="14" t="s">
        <v>110</v>
      </c>
      <c r="B84" s="93"/>
      <c r="C84" s="97">
        <f>((C9-B9)/B9)*100</f>
        <v>-0.98647676695746733</v>
      </c>
      <c r="D84" s="97">
        <f t="shared" ref="D84:F84" si="98">((D9-C9)/C9)*100</f>
        <v>3.9081772053083705</v>
      </c>
      <c r="E84" s="97">
        <f t="shared" si="98"/>
        <v>-0.25380045137251395</v>
      </c>
      <c r="F84" s="97">
        <f t="shared" si="98"/>
        <v>5.193003937133487E-2</v>
      </c>
      <c r="G84" s="70"/>
      <c r="H84" s="20"/>
      <c r="I84" s="70"/>
      <c r="J84" s="23"/>
      <c r="K84" s="32"/>
      <c r="L84" s="23"/>
      <c r="M84" s="23"/>
      <c r="N84" s="23"/>
      <c r="O84" s="23"/>
      <c r="P84" s="23"/>
      <c r="Q84" s="58"/>
      <c r="R84" s="58"/>
      <c r="S84" s="58"/>
      <c r="T84" s="58"/>
      <c r="U84" s="58"/>
      <c r="V84" s="58"/>
    </row>
    <row r="85" spans="1:37" ht="20" thickBot="1" x14ac:dyDescent="0.25">
      <c r="A85" s="14" t="s">
        <v>111</v>
      </c>
      <c r="B85" s="93"/>
      <c r="C85" s="97" t="e">
        <f>((C12-B12)/B12)*100</f>
        <v>#DIV/0!</v>
      </c>
      <c r="D85" s="97" t="e">
        <f t="shared" ref="D85:F85" si="99">((D12-C12)/C12)*100</f>
        <v>#DIV/0!</v>
      </c>
      <c r="E85" s="97" t="e">
        <f t="shared" si="99"/>
        <v>#DIV/0!</v>
      </c>
      <c r="F85" s="97" t="e">
        <f t="shared" si="99"/>
        <v>#DIV/0!</v>
      </c>
      <c r="G85" s="70"/>
      <c r="H85" s="20"/>
      <c r="I85" s="70"/>
      <c r="J85" s="23"/>
      <c r="K85" s="32"/>
      <c r="L85" s="23"/>
      <c r="M85" s="23"/>
      <c r="N85" s="23"/>
      <c r="O85" s="23"/>
      <c r="P85" s="23"/>
      <c r="Q85" s="58"/>
      <c r="R85" s="58"/>
      <c r="S85" s="58"/>
      <c r="T85" s="58"/>
      <c r="U85" s="58"/>
      <c r="V85" s="58"/>
    </row>
    <row r="86" spans="1:37" x14ac:dyDescent="0.2">
      <c r="A86" s="14" t="s">
        <v>112</v>
      </c>
      <c r="B86" s="93"/>
      <c r="C86" s="97">
        <f>((C11-B11)/B11)*100</f>
        <v>-0.81794311039056855</v>
      </c>
      <c r="D86" s="97">
        <f t="shared" ref="D86:F86" si="100">((D11-C11)/C11)*100</f>
        <v>1.7894038383351998</v>
      </c>
      <c r="E86" s="97">
        <f t="shared" si="100"/>
        <v>-1.5514526571222056</v>
      </c>
      <c r="F86" s="97">
        <f t="shared" si="100"/>
        <v>-0.29974634038040887</v>
      </c>
      <c r="G86" s="70"/>
      <c r="H86" s="20"/>
      <c r="I86" s="70"/>
      <c r="J86" s="23"/>
      <c r="K86" s="32"/>
      <c r="L86" s="23"/>
      <c r="M86" s="23"/>
      <c r="N86" s="23"/>
      <c r="O86" s="23"/>
      <c r="P86" s="23"/>
      <c r="Q86" s="58"/>
      <c r="R86" s="58"/>
      <c r="S86" s="58"/>
      <c r="T86" s="58"/>
      <c r="U86" s="58"/>
      <c r="V86" s="58"/>
    </row>
    <row r="87" spans="1:37" ht="20" thickBot="1" x14ac:dyDescent="0.25">
      <c r="B87" s="96"/>
      <c r="C87" s="96"/>
      <c r="D87" s="96"/>
      <c r="E87" s="96"/>
      <c r="F87" s="96"/>
      <c r="G87" s="20"/>
      <c r="H87" s="26"/>
      <c r="I87" s="20"/>
      <c r="J87" s="23"/>
      <c r="K87" s="32"/>
      <c r="L87" s="23"/>
      <c r="M87" s="23"/>
      <c r="N87" s="23"/>
      <c r="O87" s="23"/>
      <c r="P87" s="23"/>
      <c r="Q87" s="58"/>
      <c r="R87" s="58"/>
      <c r="S87" s="58"/>
      <c r="T87" s="58"/>
      <c r="U87" s="58"/>
      <c r="V87" s="58"/>
    </row>
    <row r="88" spans="1:37" ht="20" thickBot="1" x14ac:dyDescent="0.25">
      <c r="A88" s="12" t="s">
        <v>55</v>
      </c>
      <c r="B88" s="91">
        <f>(B11/B10)*100</f>
        <v>1.0566546762589926</v>
      </c>
      <c r="C88" s="91">
        <f t="shared" ref="C88:F88" si="101">(C11/C10)*100</f>
        <v>1.0261551874455102</v>
      </c>
      <c r="D88" s="91">
        <f t="shared" si="101"/>
        <v>1.0078671328671327</v>
      </c>
      <c r="E88" s="91">
        <f t="shared" si="101"/>
        <v>0.95871946082561088</v>
      </c>
      <c r="F88" s="91">
        <f t="shared" si="101"/>
        <v>0.93179950698438785</v>
      </c>
      <c r="G88" s="20"/>
      <c r="H88" s="26"/>
      <c r="I88" s="20"/>
      <c r="J88" s="23"/>
      <c r="K88" s="32"/>
      <c r="L88" s="23"/>
      <c r="M88" s="23"/>
      <c r="N88" s="23"/>
      <c r="O88" s="23"/>
      <c r="P88" s="23"/>
      <c r="Q88" s="58"/>
      <c r="R88" s="58"/>
      <c r="S88" s="58"/>
      <c r="T88" s="58"/>
      <c r="U88" s="58"/>
      <c r="V88" s="58"/>
    </row>
    <row r="89" spans="1:37" ht="20" thickBot="1" x14ac:dyDescent="0.25">
      <c r="A89" s="12" t="s">
        <v>56</v>
      </c>
      <c r="B89" s="91">
        <f>B11/B9*100</f>
        <v>11.75</v>
      </c>
      <c r="C89" s="91">
        <f t="shared" ref="C89:F89" si="102">C11/C9*100</f>
        <v>11.770000000000001</v>
      </c>
      <c r="D89" s="91">
        <f t="shared" si="102"/>
        <v>11.53</v>
      </c>
      <c r="E89" s="91">
        <f t="shared" si="102"/>
        <v>11.38</v>
      </c>
      <c r="F89" s="91">
        <f t="shared" si="102"/>
        <v>11.34</v>
      </c>
      <c r="G89" s="20"/>
      <c r="H89" s="26"/>
      <c r="I89" s="20"/>
      <c r="J89" s="23"/>
      <c r="K89" s="32"/>
      <c r="L89" s="23"/>
      <c r="M89" s="23"/>
      <c r="N89" s="23"/>
      <c r="O89" s="23"/>
      <c r="P89" s="23"/>
      <c r="Q89" s="58"/>
      <c r="R89" s="58"/>
      <c r="S89" s="58"/>
      <c r="T89" s="58"/>
      <c r="U89" s="58"/>
      <c r="V89" s="58"/>
    </row>
    <row r="90" spans="1:37" ht="20" thickBot="1" x14ac:dyDescent="0.25">
      <c r="A90" s="32"/>
      <c r="B90" s="23"/>
      <c r="C90" s="23"/>
      <c r="D90" s="23"/>
      <c r="E90" s="23"/>
      <c r="F90" s="23"/>
      <c r="G90" s="23"/>
      <c r="H90" s="23"/>
      <c r="I90" s="23"/>
      <c r="J90" s="23"/>
      <c r="K90" s="32"/>
      <c r="L90" s="23"/>
      <c r="M90" s="23"/>
      <c r="N90" s="23"/>
      <c r="O90" s="23"/>
      <c r="P90" s="23"/>
      <c r="Q90" s="58"/>
      <c r="R90" s="58"/>
      <c r="S90" s="58"/>
      <c r="T90" s="58"/>
      <c r="U90" s="58"/>
      <c r="V90" s="58"/>
    </row>
    <row r="91" spans="1:37" ht="20" thickBot="1" x14ac:dyDescent="0.25">
      <c r="A91" s="12" t="s">
        <v>57</v>
      </c>
      <c r="B91" s="98">
        <f>B10/B9</f>
        <v>11.12</v>
      </c>
      <c r="C91" s="98">
        <f t="shared" ref="C91:F91" si="103">C10/C9</f>
        <v>11.47</v>
      </c>
      <c r="D91" s="98">
        <f t="shared" si="103"/>
        <v>11.44</v>
      </c>
      <c r="E91" s="98">
        <f t="shared" si="103"/>
        <v>11.87</v>
      </c>
      <c r="F91" s="98">
        <f t="shared" si="103"/>
        <v>12.170000000000002</v>
      </c>
      <c r="G91" s="23"/>
      <c r="H91" s="23"/>
      <c r="I91" s="23"/>
      <c r="J91" s="23"/>
      <c r="K91" s="23"/>
      <c r="L91" s="23"/>
      <c r="M91" s="23"/>
      <c r="N91" s="24"/>
      <c r="O91" s="24"/>
      <c r="P91" s="23"/>
      <c r="Q91" s="23"/>
      <c r="R91" s="23"/>
      <c r="S91" s="23"/>
      <c r="T91" s="23"/>
      <c r="U91" s="23"/>
      <c r="V91" s="23"/>
      <c r="W91" s="23"/>
      <c r="X91" s="23"/>
      <c r="Y91" s="23"/>
      <c r="Z91" s="32"/>
      <c r="AA91" s="23"/>
      <c r="AB91" s="23"/>
      <c r="AC91" s="23"/>
      <c r="AD91" s="23"/>
      <c r="AE91" s="23"/>
      <c r="AF91" s="58"/>
      <c r="AG91" s="58"/>
      <c r="AH91" s="58"/>
      <c r="AI91" s="58"/>
      <c r="AJ91" s="58"/>
      <c r="AK91" s="58"/>
    </row>
    <row r="92" spans="1:37" ht="21" thickBot="1" x14ac:dyDescent="0.25">
      <c r="A92" s="25" t="s">
        <v>58</v>
      </c>
      <c r="B92" s="98">
        <f>B11/B11</f>
        <v>1</v>
      </c>
      <c r="C92" s="98">
        <f t="shared" ref="C92:F92" si="104">C11/C11</f>
        <v>1</v>
      </c>
      <c r="D92" s="98">
        <f t="shared" si="104"/>
        <v>1</v>
      </c>
      <c r="E92" s="98">
        <f t="shared" si="104"/>
        <v>1</v>
      </c>
      <c r="F92" s="98">
        <f t="shared" si="104"/>
        <v>1</v>
      </c>
      <c r="G92" s="23"/>
      <c r="H92" s="23"/>
      <c r="I92" s="23"/>
      <c r="J92" s="23"/>
      <c r="K92" s="23"/>
      <c r="L92" s="23"/>
      <c r="M92" s="23"/>
      <c r="N92" s="24"/>
      <c r="O92" s="24"/>
      <c r="P92" s="23"/>
      <c r="Q92" s="23"/>
      <c r="R92" s="23"/>
      <c r="S92" s="23"/>
      <c r="T92" s="23"/>
      <c r="U92" s="23"/>
      <c r="V92" s="23"/>
      <c r="W92" s="23"/>
      <c r="X92" s="23"/>
      <c r="Y92" s="23"/>
      <c r="Z92" s="32"/>
      <c r="AA92" s="23"/>
      <c r="AB92" s="23"/>
      <c r="AC92" s="23"/>
      <c r="AD92" s="23"/>
      <c r="AE92" s="23"/>
      <c r="AF92" s="58"/>
      <c r="AG92" s="58"/>
      <c r="AH92" s="58"/>
      <c r="AI92" s="58"/>
      <c r="AJ92" s="58"/>
      <c r="AK92" s="58"/>
    </row>
    <row r="93" spans="1:37" ht="9" customHeight="1" thickBot="1" x14ac:dyDescent="0.25">
      <c r="B93" s="23"/>
      <c r="C93" s="23"/>
      <c r="D93" s="23"/>
      <c r="E93" s="23"/>
      <c r="F93" s="23"/>
      <c r="G93" s="23"/>
      <c r="H93" s="23"/>
      <c r="I93" s="23"/>
      <c r="J93" s="23"/>
      <c r="K93" s="23"/>
      <c r="L93" s="23"/>
      <c r="M93" s="23"/>
      <c r="N93" s="23"/>
      <c r="O93" s="23"/>
      <c r="P93" s="23"/>
      <c r="Q93" s="23"/>
      <c r="R93" s="23"/>
      <c r="S93" s="23"/>
      <c r="T93" s="23"/>
      <c r="U93" s="23"/>
      <c r="V93" s="23"/>
      <c r="W93" s="23"/>
      <c r="X93" s="23"/>
      <c r="Y93" s="23"/>
      <c r="Z93" s="32"/>
      <c r="AA93" s="23"/>
      <c r="AB93" s="23"/>
      <c r="AC93" s="23"/>
      <c r="AD93" s="23"/>
      <c r="AE93" s="23"/>
      <c r="AF93" s="58"/>
      <c r="AG93" s="58"/>
      <c r="AH93" s="58"/>
      <c r="AI93" s="58"/>
      <c r="AJ93" s="58"/>
      <c r="AK93" s="58"/>
    </row>
    <row r="94" spans="1:37" ht="22" thickBot="1" x14ac:dyDescent="0.25">
      <c r="A94" s="13" t="s">
        <v>59</v>
      </c>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58"/>
      <c r="AF94" s="58"/>
      <c r="AG94" s="58"/>
      <c r="AH94" s="58"/>
      <c r="AI94" s="58"/>
      <c r="AJ94" s="58"/>
    </row>
    <row r="95" spans="1:37" ht="20" hidden="1" thickBot="1" x14ac:dyDescent="0.25">
      <c r="A95" s="32" t="s">
        <v>60</v>
      </c>
      <c r="B95" s="18"/>
      <c r="C95" s="18"/>
      <c r="D95" s="18"/>
      <c r="E95" s="18"/>
      <c r="F95" s="18"/>
      <c r="G95" s="23"/>
      <c r="H95" s="23"/>
      <c r="I95" s="23"/>
      <c r="J95" s="23"/>
      <c r="K95" s="23"/>
      <c r="L95" s="23"/>
      <c r="M95" s="23"/>
      <c r="N95" s="20"/>
      <c r="O95" s="20"/>
      <c r="P95" s="23"/>
      <c r="Q95" s="23"/>
      <c r="R95" s="23"/>
      <c r="S95" s="23"/>
      <c r="T95" s="23"/>
      <c r="U95" s="23"/>
      <c r="V95" s="23"/>
      <c r="W95" s="23"/>
      <c r="X95" s="23"/>
      <c r="Y95" s="23"/>
      <c r="Z95" s="23"/>
      <c r="AA95" s="23"/>
      <c r="AB95" s="23"/>
      <c r="AC95" s="23"/>
      <c r="AD95" s="23"/>
      <c r="AE95" s="58"/>
      <c r="AF95" s="58"/>
      <c r="AG95" s="58"/>
      <c r="AH95" s="58"/>
      <c r="AI95" s="58"/>
      <c r="AJ95" s="58"/>
    </row>
    <row r="96" spans="1:37" hidden="1" x14ac:dyDescent="0.2">
      <c r="A96" s="32"/>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58"/>
      <c r="AF96" s="58"/>
      <c r="AG96" s="58"/>
      <c r="AH96" s="58"/>
      <c r="AI96" s="58"/>
      <c r="AJ96" s="58"/>
    </row>
    <row r="97" spans="1:36" hidden="1" x14ac:dyDescent="0.2">
      <c r="A97" s="36" t="s">
        <v>98</v>
      </c>
      <c r="B97" s="86"/>
      <c r="C97" s="86"/>
      <c r="D97" s="86"/>
      <c r="E97" s="86"/>
      <c r="F97" s="86"/>
      <c r="G97" s="23"/>
      <c r="H97" s="23"/>
      <c r="I97" s="23"/>
      <c r="J97" s="23"/>
      <c r="K97" s="23"/>
      <c r="L97" s="23"/>
      <c r="M97" s="23"/>
      <c r="N97" s="23"/>
      <c r="O97" s="23"/>
      <c r="P97" s="23"/>
      <c r="Q97" s="23"/>
      <c r="R97" s="23"/>
      <c r="S97" s="23"/>
      <c r="T97" s="23"/>
      <c r="U97" s="23"/>
      <c r="V97" s="23"/>
      <c r="W97" s="23"/>
      <c r="X97" s="23"/>
      <c r="Y97" s="23"/>
      <c r="Z97" s="23"/>
      <c r="AA97" s="23"/>
      <c r="AB97" s="23"/>
      <c r="AC97" s="23"/>
      <c r="AD97" s="23"/>
      <c r="AE97" s="58"/>
      <c r="AF97" s="58"/>
      <c r="AG97" s="58"/>
      <c r="AH97" s="58"/>
      <c r="AI97" s="58"/>
      <c r="AJ97" s="58"/>
    </row>
    <row r="98" spans="1:36" ht="20" hidden="1" thickBot="1" x14ac:dyDescent="0.25">
      <c r="A98" s="32"/>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58"/>
      <c r="AF98" s="58"/>
      <c r="AG98" s="58"/>
      <c r="AH98" s="58"/>
      <c r="AI98" s="58"/>
      <c r="AJ98" s="58"/>
    </row>
    <row r="99" spans="1:36" ht="20" hidden="1" thickBot="1" x14ac:dyDescent="0.25">
      <c r="A99" s="32" t="s">
        <v>61</v>
      </c>
      <c r="B99" s="74"/>
      <c r="C99" s="74"/>
      <c r="D99" s="74"/>
      <c r="E99" s="74"/>
      <c r="F99" s="74"/>
      <c r="G99" s="23"/>
      <c r="H99" s="23"/>
      <c r="I99" s="23"/>
      <c r="J99" s="23"/>
      <c r="K99" s="23"/>
      <c r="L99" s="23"/>
      <c r="M99" s="23"/>
      <c r="N99" s="23"/>
      <c r="O99" s="23"/>
      <c r="P99" s="23"/>
      <c r="Q99" s="23"/>
      <c r="R99" s="23"/>
      <c r="S99" s="23"/>
      <c r="T99" s="23"/>
      <c r="U99" s="23"/>
      <c r="V99" s="23"/>
      <c r="W99" s="23"/>
      <c r="X99" s="23"/>
      <c r="Y99" s="23"/>
      <c r="Z99" s="23"/>
      <c r="AA99" s="23"/>
      <c r="AB99" s="23"/>
      <c r="AC99" s="23"/>
      <c r="AD99" s="23"/>
      <c r="AE99" s="58"/>
      <c r="AF99" s="58"/>
      <c r="AG99" s="58"/>
      <c r="AH99" s="58"/>
      <c r="AI99" s="58"/>
      <c r="AJ99" s="58"/>
    </row>
    <row r="100" spans="1:36" ht="20" hidden="1" thickBot="1" x14ac:dyDescent="0.25">
      <c r="A100" s="32" t="s">
        <v>62</v>
      </c>
      <c r="B100" s="18"/>
      <c r="C100" s="18"/>
      <c r="D100" s="18"/>
      <c r="E100" s="18"/>
      <c r="F100" s="18"/>
      <c r="G100" s="23"/>
      <c r="H100" s="23"/>
      <c r="I100" s="23"/>
      <c r="J100" s="23"/>
      <c r="K100" s="23"/>
      <c r="L100" s="23"/>
      <c r="M100" s="23"/>
      <c r="N100" s="20"/>
      <c r="O100" s="20"/>
      <c r="P100" s="23"/>
      <c r="Q100" s="23"/>
      <c r="R100" s="23"/>
      <c r="S100" s="23"/>
      <c r="T100" s="23"/>
      <c r="U100" s="23"/>
      <c r="V100" s="23"/>
      <c r="W100" s="23"/>
      <c r="X100" s="23"/>
      <c r="Y100" s="23"/>
      <c r="Z100" s="23"/>
      <c r="AA100" s="23"/>
      <c r="AB100" s="23"/>
      <c r="AC100" s="23"/>
      <c r="AD100" s="23"/>
      <c r="AE100" s="58"/>
      <c r="AF100" s="58"/>
      <c r="AG100" s="58"/>
      <c r="AH100" s="58"/>
      <c r="AI100" s="58"/>
      <c r="AJ100" s="58"/>
    </row>
    <row r="101" spans="1:36" ht="20" thickBot="1" x14ac:dyDescent="0.25">
      <c r="G101" s="23"/>
      <c r="H101" s="23"/>
      <c r="I101" s="23"/>
      <c r="J101" s="23"/>
      <c r="K101" s="23"/>
      <c r="L101" s="23"/>
      <c r="M101" s="23"/>
      <c r="P101" s="23"/>
      <c r="Q101" s="23"/>
      <c r="R101" s="23"/>
      <c r="S101" s="23"/>
      <c r="T101" s="23"/>
      <c r="U101" s="23"/>
      <c r="V101" s="23"/>
      <c r="W101" s="23"/>
      <c r="X101" s="23"/>
      <c r="Y101" s="23"/>
      <c r="Z101" s="23"/>
      <c r="AA101" s="23"/>
      <c r="AB101" s="23"/>
      <c r="AC101" s="23"/>
      <c r="AD101" s="23"/>
      <c r="AE101" s="58"/>
      <c r="AF101" s="58"/>
      <c r="AG101" s="58"/>
      <c r="AH101" s="58"/>
      <c r="AI101" s="58"/>
      <c r="AJ101" s="58"/>
    </row>
    <row r="102" spans="1:36" ht="20" thickBot="1" x14ac:dyDescent="0.25">
      <c r="A102" s="12" t="s">
        <v>63</v>
      </c>
      <c r="B102" s="71">
        <f>B34+B31</f>
        <v>7142.3470759338525</v>
      </c>
      <c r="C102" s="71">
        <f t="shared" ref="C102:F102" si="105">C34+C31</f>
        <v>6522.8861248055837</v>
      </c>
      <c r="D102" s="71">
        <f t="shared" si="105"/>
        <v>6613.4038011716002</v>
      </c>
      <c r="E102" s="71">
        <f t="shared" si="105"/>
        <v>10593.690738790934</v>
      </c>
      <c r="F102" s="71">
        <f t="shared" si="105"/>
        <v>8831.3924863175635</v>
      </c>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58"/>
      <c r="AF102" s="58"/>
      <c r="AG102" s="58"/>
      <c r="AH102" s="58"/>
      <c r="AI102" s="58"/>
      <c r="AJ102" s="58"/>
    </row>
    <row r="103" spans="1:36" ht="20" thickBot="1" x14ac:dyDescent="0.25">
      <c r="A103" s="12" t="s">
        <v>102</v>
      </c>
      <c r="B103" s="91">
        <f>B102/B19*100</f>
        <v>21.374033624413013</v>
      </c>
      <c r="C103" s="91">
        <f t="shared" ref="C103:F103" si="106">C102/C19*100</f>
        <v>19.104607459232007</v>
      </c>
      <c r="D103" s="91">
        <f t="shared" si="106"/>
        <v>17.613667672974138</v>
      </c>
      <c r="E103" s="91">
        <f t="shared" si="106"/>
        <v>27.006120118262761</v>
      </c>
      <c r="F103" s="91">
        <f t="shared" si="106"/>
        <v>21.786004110608985</v>
      </c>
      <c r="G103" s="23"/>
      <c r="H103" s="23"/>
      <c r="I103" s="23"/>
      <c r="J103" s="23"/>
      <c r="K103" s="23"/>
      <c r="L103" s="23"/>
      <c r="M103" s="23"/>
      <c r="N103" s="20"/>
      <c r="O103" s="20"/>
      <c r="P103" s="23"/>
      <c r="Q103" s="23"/>
      <c r="R103" s="23"/>
      <c r="S103" s="23"/>
      <c r="T103" s="23"/>
      <c r="U103" s="23"/>
      <c r="V103" s="23"/>
      <c r="W103" s="23"/>
      <c r="X103" s="23"/>
      <c r="Y103" s="23"/>
      <c r="Z103" s="23"/>
      <c r="AA103" s="23"/>
      <c r="AB103" s="23"/>
      <c r="AC103" s="23"/>
      <c r="AD103" s="23"/>
      <c r="AE103" s="58"/>
      <c r="AF103" s="58"/>
      <c r="AG103" s="58"/>
      <c r="AH103" s="58"/>
      <c r="AI103" s="58"/>
      <c r="AJ103" s="58"/>
    </row>
    <row r="104" spans="1:36" ht="20" thickBot="1" x14ac:dyDescent="0.25">
      <c r="A104" s="12" t="s">
        <v>64</v>
      </c>
      <c r="B104" s="71">
        <f>B102/B8</f>
        <v>1.6686167358036288</v>
      </c>
      <c r="C104" s="71">
        <f t="shared" ref="C104:F104" si="107">C102/C8</f>
        <v>1.4559463141740991</v>
      </c>
      <c r="D104" s="71">
        <f t="shared" si="107"/>
        <v>1.4403606315377895</v>
      </c>
      <c r="E104" s="71">
        <f t="shared" si="107"/>
        <v>2.2286171860774728</v>
      </c>
      <c r="F104" s="71">
        <f t="shared" si="107"/>
        <v>1.821712299067012</v>
      </c>
      <c r="G104" s="23"/>
      <c r="H104" s="23"/>
      <c r="I104" s="23"/>
      <c r="J104" s="23"/>
      <c r="K104" s="23"/>
      <c r="L104" s="23"/>
      <c r="M104" s="23"/>
      <c r="N104" s="38"/>
      <c r="O104" s="38"/>
      <c r="P104" s="23"/>
      <c r="Q104" s="23"/>
      <c r="R104" s="23"/>
      <c r="S104" s="23"/>
      <c r="T104" s="23"/>
      <c r="U104" s="23"/>
      <c r="V104" s="23"/>
      <c r="W104" s="23"/>
      <c r="X104" s="23"/>
      <c r="Y104" s="23"/>
      <c r="Z104" s="23"/>
      <c r="AA104" s="23"/>
      <c r="AB104" s="23"/>
      <c r="AC104" s="23"/>
      <c r="AD104" s="23"/>
      <c r="AE104" s="58"/>
      <c r="AF104" s="58"/>
      <c r="AG104" s="58"/>
      <c r="AH104" s="58"/>
      <c r="AI104" s="58"/>
      <c r="AJ104" s="58"/>
    </row>
    <row r="105" spans="1:36" ht="20" hidden="1" thickBot="1" x14ac:dyDescent="0.25">
      <c r="G105" s="23"/>
      <c r="H105" s="23"/>
      <c r="I105" s="23"/>
      <c r="J105" s="23"/>
      <c r="K105" s="23"/>
      <c r="L105" s="23"/>
      <c r="M105" s="23"/>
      <c r="P105" s="23"/>
      <c r="Q105" s="23"/>
      <c r="R105" s="23"/>
      <c r="S105" s="23"/>
      <c r="T105" s="23"/>
      <c r="U105" s="23"/>
      <c r="V105" s="23"/>
      <c r="W105" s="23"/>
      <c r="X105" s="23"/>
      <c r="Y105" s="23"/>
      <c r="Z105" s="23"/>
      <c r="AA105" s="23"/>
      <c r="AB105" s="23"/>
      <c r="AC105" s="23"/>
      <c r="AD105" s="23"/>
      <c r="AE105" s="58"/>
      <c r="AF105" s="58"/>
      <c r="AG105" s="58"/>
      <c r="AH105" s="58"/>
      <c r="AI105" s="58"/>
      <c r="AJ105" s="58"/>
    </row>
    <row r="106" spans="1:36" ht="20" hidden="1" thickBot="1" x14ac:dyDescent="0.25">
      <c r="A106" s="12" t="s">
        <v>65</v>
      </c>
      <c r="B106" s="18"/>
      <c r="C106" s="18"/>
      <c r="D106" s="18"/>
      <c r="E106" s="18"/>
      <c r="F106" s="18"/>
      <c r="G106" s="23"/>
      <c r="H106" s="23"/>
      <c r="I106" s="23"/>
      <c r="J106" s="23"/>
      <c r="K106" s="23"/>
      <c r="L106" s="23"/>
      <c r="M106" s="23"/>
      <c r="N106" s="20"/>
      <c r="O106" s="20"/>
      <c r="P106" s="23"/>
      <c r="Q106" s="23"/>
      <c r="R106" s="23"/>
      <c r="S106" s="23"/>
      <c r="T106" s="23"/>
      <c r="U106" s="23"/>
      <c r="V106" s="23"/>
      <c r="W106" s="23"/>
      <c r="X106" s="23"/>
      <c r="Y106" s="23"/>
      <c r="Z106" s="23"/>
      <c r="AA106" s="23"/>
      <c r="AB106" s="23"/>
      <c r="AC106" s="23"/>
      <c r="AD106" s="23"/>
      <c r="AE106" s="58"/>
      <c r="AF106" s="58"/>
      <c r="AG106" s="58"/>
      <c r="AH106" s="58"/>
      <c r="AI106" s="58"/>
      <c r="AJ106" s="58"/>
    </row>
    <row r="107" spans="1:36" ht="20" thickBot="1" x14ac:dyDescent="0.25">
      <c r="G107" s="23"/>
      <c r="H107" s="23"/>
      <c r="I107" s="23"/>
      <c r="J107" s="23"/>
      <c r="K107" s="23"/>
      <c r="L107" s="23"/>
      <c r="M107" s="23"/>
      <c r="P107" s="23"/>
      <c r="X107" s="23"/>
      <c r="Y107" s="23"/>
      <c r="Z107" s="23"/>
      <c r="AA107" s="23"/>
      <c r="AB107" s="23"/>
      <c r="AC107" s="23"/>
      <c r="AD107" s="23"/>
      <c r="AE107" s="58"/>
      <c r="AF107" s="58"/>
      <c r="AG107" s="58"/>
      <c r="AH107" s="58"/>
      <c r="AI107" s="58"/>
      <c r="AJ107" s="58"/>
    </row>
    <row r="108" spans="1:36" ht="20" thickBot="1" x14ac:dyDescent="0.25">
      <c r="A108" s="12" t="s">
        <v>66</v>
      </c>
      <c r="B108" s="91">
        <f>B42/B55*100</f>
        <v>6.6797492732340658</v>
      </c>
      <c r="C108" s="91">
        <f t="shared" ref="C108:F108" si="108">C42/C55*100</f>
        <v>5.1581632656096605</v>
      </c>
      <c r="D108" s="91">
        <f t="shared" si="108"/>
        <v>4.0833617116364085</v>
      </c>
      <c r="E108" s="91">
        <f t="shared" si="108"/>
        <v>9.255375707894542</v>
      </c>
      <c r="F108" s="91">
        <f t="shared" si="108"/>
        <v>5.0978752707290509</v>
      </c>
      <c r="G108" s="23"/>
      <c r="H108" s="23"/>
      <c r="I108" s="23"/>
      <c r="J108" s="23"/>
      <c r="K108" s="23"/>
      <c r="L108" s="23"/>
      <c r="M108" s="23"/>
      <c r="N108" s="20"/>
      <c r="O108" s="20"/>
      <c r="P108" s="23"/>
      <c r="X108" s="23"/>
      <c r="Y108" s="23"/>
      <c r="Z108" s="23"/>
      <c r="AA108" s="23"/>
      <c r="AB108" s="23"/>
      <c r="AC108" s="23"/>
      <c r="AD108" s="23"/>
      <c r="AE108" s="58"/>
      <c r="AF108" s="58"/>
      <c r="AG108" s="58"/>
      <c r="AH108" s="58"/>
      <c r="AI108" s="58"/>
      <c r="AJ108" s="58"/>
    </row>
    <row r="109" spans="1:36" ht="20" thickBot="1" x14ac:dyDescent="0.25">
      <c r="A109" s="12" t="s">
        <v>67</v>
      </c>
      <c r="B109" s="91">
        <f>B42/B65*100</f>
        <v>13.30714730214407</v>
      </c>
      <c r="C109" s="91">
        <f t="shared" ref="C109:F109" si="109">C42/C65*100</f>
        <v>10.577147013075434</v>
      </c>
      <c r="D109" s="91">
        <f t="shared" si="109"/>
        <v>8.888178474461828</v>
      </c>
      <c r="E109" s="91">
        <f t="shared" si="109"/>
        <v>20.861778624388648</v>
      </c>
      <c r="F109" s="91">
        <f t="shared" si="109"/>
        <v>12.067384703083537</v>
      </c>
      <c r="G109" s="23"/>
      <c r="H109" s="23"/>
      <c r="I109" s="23"/>
      <c r="J109" s="23"/>
      <c r="K109" s="23"/>
      <c r="L109" s="23"/>
      <c r="M109" s="23"/>
      <c r="N109" s="20"/>
      <c r="O109" s="20"/>
      <c r="P109" s="23"/>
      <c r="Q109" s="23"/>
      <c r="R109" s="23"/>
      <c r="S109" s="23"/>
      <c r="T109" s="23"/>
      <c r="U109" s="23"/>
      <c r="V109" s="23"/>
      <c r="W109" s="23"/>
      <c r="X109" s="23"/>
      <c r="Y109" s="23"/>
      <c r="Z109" s="23"/>
      <c r="AA109" s="23"/>
      <c r="AB109" s="23"/>
      <c r="AC109" s="23"/>
      <c r="AD109" s="23"/>
      <c r="AE109" s="58"/>
      <c r="AF109" s="58"/>
      <c r="AG109" s="58"/>
      <c r="AH109" s="58"/>
      <c r="AI109" s="58"/>
      <c r="AJ109" s="58"/>
    </row>
    <row r="110" spans="1:36" ht="20" thickBot="1" x14ac:dyDescent="0.25">
      <c r="G110" s="23"/>
      <c r="H110" s="23"/>
      <c r="I110" s="23"/>
      <c r="J110" s="23"/>
      <c r="K110" s="23"/>
      <c r="L110" s="23"/>
      <c r="M110" s="23"/>
      <c r="P110" s="23"/>
      <c r="X110" s="23"/>
      <c r="Y110" s="23"/>
      <c r="Z110" s="23"/>
      <c r="AA110" s="23"/>
      <c r="AB110" s="23"/>
      <c r="AC110" s="23"/>
      <c r="AD110" s="23"/>
      <c r="AE110" s="58"/>
      <c r="AF110" s="58"/>
      <c r="AG110" s="58"/>
      <c r="AH110" s="58"/>
      <c r="AI110" s="58"/>
      <c r="AJ110" s="58"/>
    </row>
    <row r="111" spans="1:36" ht="22" thickBot="1" x14ac:dyDescent="0.25">
      <c r="A111" s="13" t="s">
        <v>68</v>
      </c>
      <c r="G111" s="23"/>
      <c r="H111" s="23"/>
      <c r="I111" s="23"/>
      <c r="J111" s="23"/>
      <c r="K111" s="23"/>
      <c r="L111" s="23"/>
      <c r="M111" s="23"/>
      <c r="P111" s="23"/>
      <c r="R111" s="1" t="s">
        <v>118</v>
      </c>
      <c r="X111" s="23"/>
      <c r="Y111" s="23"/>
      <c r="Z111" s="23"/>
      <c r="AA111" s="23"/>
      <c r="AB111" s="23"/>
      <c r="AC111" s="23"/>
      <c r="AD111" s="23"/>
      <c r="AE111" s="58"/>
      <c r="AF111" s="58"/>
      <c r="AG111" s="58"/>
      <c r="AH111" s="58"/>
      <c r="AI111" s="58"/>
      <c r="AJ111" s="58"/>
    </row>
    <row r="112" spans="1:36" hidden="1" x14ac:dyDescent="0.2">
      <c r="A112" s="12" t="s">
        <v>94</v>
      </c>
      <c r="B112" s="82"/>
      <c r="C112" s="83"/>
      <c r="D112" s="83"/>
      <c r="E112" s="83"/>
      <c r="F112" s="83"/>
      <c r="N112" s="76"/>
      <c r="O112" s="76"/>
      <c r="Q112" s="23"/>
      <c r="R112" s="23"/>
      <c r="S112" s="23"/>
      <c r="T112" s="23"/>
      <c r="U112" s="23"/>
      <c r="V112" s="23"/>
      <c r="W112" s="23"/>
      <c r="AE112" s="58"/>
      <c r="AF112" s="58"/>
      <c r="AG112" s="58"/>
      <c r="AH112" s="58"/>
      <c r="AI112" s="58"/>
      <c r="AJ112" s="58"/>
    </row>
    <row r="113" spans="1:36" hidden="1" x14ac:dyDescent="0.2">
      <c r="A113" s="12" t="s">
        <v>95</v>
      </c>
      <c r="B113" s="84"/>
      <c r="C113" s="85"/>
      <c r="D113" s="85"/>
      <c r="E113" s="85"/>
      <c r="F113" s="85"/>
      <c r="N113" s="76"/>
      <c r="O113" s="76"/>
      <c r="AE113" s="58"/>
      <c r="AF113" s="58"/>
      <c r="AG113" s="58"/>
      <c r="AH113" s="58"/>
      <c r="AI113" s="58"/>
      <c r="AJ113" s="58"/>
    </row>
    <row r="114" spans="1:36" x14ac:dyDescent="0.2">
      <c r="A114" s="12" t="s">
        <v>69</v>
      </c>
      <c r="B114" s="83">
        <f>B25/((B51+C51)/2)</f>
        <v>5.1509807560617418</v>
      </c>
      <c r="C114" s="83">
        <f t="shared" ref="C114:F114" si="110">C25/((C51+D51)/2)</f>
        <v>4.5248373381689717</v>
      </c>
      <c r="D114" s="83">
        <f t="shared" si="110"/>
        <v>4.3657110871991955</v>
      </c>
      <c r="E114" s="83">
        <f t="shared" si="110"/>
        <v>4.3492432722379366</v>
      </c>
      <c r="F114" s="83">
        <f t="shared" si="110"/>
        <v>8.7785685278346701</v>
      </c>
      <c r="N114" s="76"/>
      <c r="O114" s="76"/>
      <c r="AE114" s="58"/>
      <c r="AF114" s="58"/>
      <c r="AG114" s="58"/>
      <c r="AH114" s="58"/>
      <c r="AI114" s="58"/>
      <c r="AJ114" s="58"/>
    </row>
    <row r="115" spans="1:36" x14ac:dyDescent="0.2">
      <c r="A115" s="12" t="s">
        <v>70</v>
      </c>
      <c r="B115" s="85">
        <f>365/B114</f>
        <v>70.860291910518825</v>
      </c>
      <c r="C115" s="85">
        <f t="shared" ref="C115:F115" si="111">365/C114</f>
        <v>80.665883151437555</v>
      </c>
      <c r="D115" s="85">
        <f t="shared" si="111"/>
        <v>83.606082195916514</v>
      </c>
      <c r="E115" s="85">
        <f t="shared" si="111"/>
        <v>83.922645194364222</v>
      </c>
      <c r="F115" s="85">
        <f t="shared" si="111"/>
        <v>41.57853286018959</v>
      </c>
      <c r="N115" s="76"/>
      <c r="O115" s="76"/>
      <c r="AE115" s="58"/>
      <c r="AF115" s="58"/>
      <c r="AG115" s="58"/>
      <c r="AH115" s="58"/>
      <c r="AI115" s="58"/>
      <c r="AJ115" s="58"/>
    </row>
    <row r="116" spans="1:36" x14ac:dyDescent="0.2">
      <c r="G116" s="23"/>
      <c r="H116" s="23"/>
      <c r="I116" s="23"/>
      <c r="J116" s="23"/>
      <c r="K116" s="23"/>
      <c r="L116" s="23"/>
      <c r="M116" s="23"/>
      <c r="P116" s="23"/>
      <c r="X116" s="23"/>
      <c r="Y116" s="23"/>
      <c r="Z116" s="23"/>
      <c r="AA116" s="23"/>
      <c r="AB116" s="23"/>
      <c r="AC116" s="23"/>
      <c r="AD116" s="23"/>
      <c r="AE116" s="58"/>
      <c r="AF116" s="58"/>
      <c r="AG116" s="58"/>
      <c r="AH116" s="58"/>
      <c r="AI116" s="58"/>
      <c r="AJ116" s="58"/>
    </row>
    <row r="117" spans="1:36" ht="40" hidden="1" x14ac:dyDescent="0.2">
      <c r="A117" s="25" t="s">
        <v>92</v>
      </c>
      <c r="B117" s="84"/>
      <c r="C117" s="85"/>
      <c r="D117" s="85"/>
      <c r="E117" s="85"/>
      <c r="F117" s="85"/>
      <c r="N117" s="22"/>
      <c r="O117" s="22"/>
      <c r="Q117" s="23"/>
      <c r="R117" s="23"/>
      <c r="S117" s="23"/>
      <c r="T117" s="23"/>
      <c r="U117" s="23"/>
      <c r="V117" s="23"/>
      <c r="W117" s="23"/>
      <c r="AE117" s="58"/>
      <c r="AF117" s="58"/>
      <c r="AG117" s="58"/>
      <c r="AH117" s="58"/>
      <c r="AI117" s="58"/>
      <c r="AJ117" s="58"/>
    </row>
    <row r="118" spans="1:36" hidden="1" x14ac:dyDescent="0.2">
      <c r="A118" s="12" t="s">
        <v>93</v>
      </c>
      <c r="B118" s="82"/>
      <c r="C118" s="83"/>
      <c r="D118" s="83"/>
      <c r="E118" s="83"/>
      <c r="F118" s="83"/>
      <c r="N118" s="76"/>
      <c r="O118" s="76"/>
      <c r="AE118" s="58"/>
      <c r="AF118" s="58"/>
      <c r="AG118" s="58"/>
      <c r="AH118" s="58"/>
      <c r="AI118" s="58"/>
      <c r="AJ118" s="58"/>
    </row>
    <row r="119" spans="1:36" ht="40" x14ac:dyDescent="0.2">
      <c r="A119" s="25" t="s">
        <v>71</v>
      </c>
      <c r="B119" s="83">
        <v>39.46</v>
      </c>
      <c r="C119" s="83">
        <v>43.18</v>
      </c>
      <c r="D119" s="83">
        <v>41.84</v>
      </c>
      <c r="E119" s="83">
        <v>42.29</v>
      </c>
      <c r="F119" s="83">
        <v>43.56</v>
      </c>
      <c r="N119" s="76"/>
      <c r="O119" s="76"/>
      <c r="AE119" s="58"/>
      <c r="AF119" s="58"/>
      <c r="AG119" s="58"/>
      <c r="AH119" s="58"/>
      <c r="AI119" s="58"/>
      <c r="AJ119" s="58"/>
    </row>
    <row r="120" spans="1:36" x14ac:dyDescent="0.2">
      <c r="A120" s="12" t="s">
        <v>72</v>
      </c>
      <c r="B120" s="83">
        <v>9.26</v>
      </c>
      <c r="C120" s="83">
        <v>8.4499999999999993</v>
      </c>
      <c r="D120" s="83">
        <v>8.7200000000000006</v>
      </c>
      <c r="E120" s="83">
        <v>8.64</v>
      </c>
      <c r="F120" s="83">
        <v>8.3800000000000008</v>
      </c>
      <c r="N120" s="76"/>
      <c r="O120" s="76"/>
      <c r="AE120" s="58"/>
      <c r="AF120" s="58"/>
      <c r="AG120" s="58"/>
      <c r="AH120" s="58"/>
      <c r="AI120" s="58"/>
      <c r="AJ120" s="58"/>
    </row>
    <row r="121" spans="1:36" x14ac:dyDescent="0.2">
      <c r="G121" s="23"/>
      <c r="H121" s="23"/>
      <c r="I121" s="23"/>
      <c r="J121" s="23"/>
      <c r="K121" s="23"/>
      <c r="L121" s="23"/>
      <c r="M121" s="23"/>
      <c r="P121" s="23"/>
      <c r="X121" s="23"/>
      <c r="Y121" s="23"/>
      <c r="Z121" s="23"/>
      <c r="AA121" s="23"/>
      <c r="AB121" s="23"/>
      <c r="AC121" s="23"/>
      <c r="AD121" s="23"/>
      <c r="AE121" s="58"/>
      <c r="AF121" s="58"/>
      <c r="AG121" s="58"/>
      <c r="AH121" s="58"/>
      <c r="AI121" s="58"/>
      <c r="AJ121" s="58"/>
    </row>
    <row r="122" spans="1:36" hidden="1" x14ac:dyDescent="0.2">
      <c r="A122" s="12" t="s">
        <v>73</v>
      </c>
      <c r="B122" s="82"/>
      <c r="C122" s="83"/>
      <c r="D122" s="83"/>
      <c r="E122" s="83"/>
      <c r="F122" s="83"/>
      <c r="N122" s="76"/>
      <c r="O122" s="76"/>
      <c r="AE122" s="58"/>
      <c r="AF122" s="58"/>
      <c r="AG122" s="58"/>
      <c r="AH122" s="58"/>
      <c r="AI122" s="58"/>
      <c r="AJ122" s="58"/>
    </row>
    <row r="123" spans="1:36" hidden="1" x14ac:dyDescent="0.2">
      <c r="A123" s="12" t="s">
        <v>74</v>
      </c>
      <c r="B123" s="84"/>
      <c r="C123" s="83"/>
      <c r="D123" s="83"/>
      <c r="E123" s="83"/>
      <c r="F123" s="83"/>
      <c r="N123" s="76"/>
      <c r="O123" s="76"/>
      <c r="AE123" s="58"/>
      <c r="AF123" s="58"/>
      <c r="AG123" s="58"/>
      <c r="AH123" s="58"/>
      <c r="AI123" s="58"/>
      <c r="AJ123" s="58"/>
    </row>
    <row r="124" spans="1:36" x14ac:dyDescent="0.2">
      <c r="A124" s="12" t="s">
        <v>73</v>
      </c>
      <c r="B124" s="83">
        <v>6.86</v>
      </c>
      <c r="C124" s="83">
        <v>7.83</v>
      </c>
      <c r="D124" s="83">
        <v>7.74</v>
      </c>
      <c r="E124" s="83">
        <v>7.67</v>
      </c>
      <c r="F124" s="83">
        <v>7.69</v>
      </c>
      <c r="N124" s="76"/>
      <c r="O124" s="76"/>
      <c r="AE124" s="58"/>
      <c r="AF124" s="58"/>
      <c r="AG124" s="58"/>
      <c r="AH124" s="58"/>
      <c r="AI124" s="58"/>
      <c r="AJ124" s="58"/>
    </row>
    <row r="125" spans="1:36" x14ac:dyDescent="0.2">
      <c r="A125" s="12" t="s">
        <v>74</v>
      </c>
      <c r="B125" s="83">
        <v>53.24</v>
      </c>
      <c r="C125" s="83">
        <v>46.64</v>
      </c>
      <c r="D125" s="83">
        <v>47.15</v>
      </c>
      <c r="E125" s="83">
        <v>47.54</v>
      </c>
      <c r="F125" s="83">
        <v>47.48</v>
      </c>
      <c r="N125" s="76"/>
      <c r="O125" s="76"/>
      <c r="AE125" s="58"/>
      <c r="AF125" s="58"/>
      <c r="AG125" s="58"/>
      <c r="AH125" s="58"/>
      <c r="AI125" s="58"/>
      <c r="AJ125" s="58"/>
    </row>
    <row r="126" spans="1:36" x14ac:dyDescent="0.2">
      <c r="G126" s="23"/>
      <c r="H126" s="23"/>
      <c r="I126" s="23"/>
      <c r="J126" s="23"/>
      <c r="K126" s="23"/>
      <c r="L126" s="23"/>
      <c r="M126" s="23"/>
      <c r="P126" s="23"/>
      <c r="X126" s="23"/>
      <c r="Y126" s="23"/>
      <c r="Z126" s="23"/>
      <c r="AA126" s="23"/>
      <c r="AB126" s="23"/>
      <c r="AC126" s="23"/>
      <c r="AD126" s="23"/>
      <c r="AE126" s="58"/>
      <c r="AF126" s="58"/>
      <c r="AG126" s="58"/>
      <c r="AH126" s="58"/>
      <c r="AI126" s="58"/>
      <c r="AJ126" s="58"/>
    </row>
    <row r="127" spans="1:36" hidden="1" x14ac:dyDescent="0.2">
      <c r="A127" s="12" t="s">
        <v>96</v>
      </c>
      <c r="B127" s="82"/>
      <c r="C127" s="83"/>
      <c r="D127" s="83"/>
      <c r="E127" s="83"/>
      <c r="F127" s="83"/>
      <c r="N127" s="76"/>
      <c r="O127" s="76"/>
      <c r="Q127" s="23"/>
      <c r="R127" s="23"/>
      <c r="S127" s="23"/>
      <c r="T127" s="23"/>
      <c r="U127" s="23"/>
      <c r="V127" s="23"/>
      <c r="W127" s="23"/>
      <c r="AE127" s="58"/>
      <c r="AF127" s="58"/>
      <c r="AG127" s="58"/>
      <c r="AH127" s="58"/>
      <c r="AI127" s="58"/>
      <c r="AJ127" s="58"/>
    </row>
    <row r="128" spans="1:36" hidden="1" x14ac:dyDescent="0.2">
      <c r="A128" s="12" t="s">
        <v>97</v>
      </c>
      <c r="B128" s="82"/>
      <c r="C128" s="83"/>
      <c r="D128" s="83"/>
      <c r="E128" s="83"/>
      <c r="F128" s="83"/>
      <c r="N128" s="76"/>
      <c r="O128" s="76"/>
      <c r="Q128" s="23"/>
      <c r="W128" s="23"/>
      <c r="AE128" s="58"/>
      <c r="AF128" s="58"/>
      <c r="AG128" s="58"/>
      <c r="AH128" s="58"/>
      <c r="AI128" s="58"/>
      <c r="AJ128" s="58"/>
    </row>
    <row r="129" spans="1:36" x14ac:dyDescent="0.2">
      <c r="A129" s="12" t="s">
        <v>103</v>
      </c>
      <c r="B129" s="83">
        <v>1.26</v>
      </c>
      <c r="C129" s="83">
        <v>1.3</v>
      </c>
      <c r="D129" s="83">
        <v>1.36</v>
      </c>
      <c r="E129" s="83">
        <v>1.37</v>
      </c>
      <c r="F129" s="83">
        <v>1.41</v>
      </c>
      <c r="N129" s="76"/>
      <c r="O129" s="76"/>
      <c r="Q129" s="23"/>
      <c r="W129" s="23"/>
      <c r="AE129" s="58"/>
      <c r="AF129" s="58"/>
      <c r="AG129" s="58"/>
      <c r="AH129" s="58"/>
      <c r="AI129" s="58"/>
      <c r="AJ129" s="58"/>
    </row>
    <row r="130" spans="1:36" x14ac:dyDescent="0.2">
      <c r="A130" s="12" t="s">
        <v>113</v>
      </c>
      <c r="B130" s="83">
        <v>0.87</v>
      </c>
      <c r="C130" s="83">
        <v>0.95</v>
      </c>
      <c r="D130" s="83">
        <v>0.98</v>
      </c>
      <c r="E130" s="83">
        <v>0.97</v>
      </c>
      <c r="F130" s="83">
        <v>1.0069999999999999</v>
      </c>
      <c r="N130" s="76"/>
      <c r="O130" s="76"/>
      <c r="Q130" s="23"/>
      <c r="W130" s="23"/>
      <c r="AE130" s="58"/>
      <c r="AF130" s="58"/>
      <c r="AG130" s="58"/>
      <c r="AH130" s="58"/>
      <c r="AI130" s="58"/>
      <c r="AJ130" s="58"/>
    </row>
    <row r="131" spans="1:36" ht="20" hidden="1" thickBot="1" x14ac:dyDescent="0.25">
      <c r="B131" s="76"/>
      <c r="C131" s="76"/>
      <c r="D131" s="76"/>
      <c r="E131" s="76"/>
      <c r="F131" s="76"/>
      <c r="N131" s="76"/>
      <c r="O131" s="76"/>
      <c r="Q131" s="23"/>
      <c r="W131" s="23"/>
      <c r="AE131" s="58"/>
      <c r="AF131" s="58"/>
      <c r="AG131" s="58"/>
      <c r="AH131" s="58"/>
      <c r="AI131" s="58"/>
      <c r="AJ131" s="58"/>
    </row>
    <row r="132" spans="1:36" ht="20" hidden="1" thickBot="1" x14ac:dyDescent="0.25">
      <c r="A132" s="12" t="s">
        <v>75</v>
      </c>
      <c r="B132" s="81"/>
      <c r="C132" s="75"/>
      <c r="D132" s="75"/>
      <c r="E132" s="75"/>
      <c r="F132" s="75"/>
      <c r="N132" s="23"/>
      <c r="O132" s="23"/>
      <c r="AE132" s="58"/>
      <c r="AF132" s="58"/>
      <c r="AG132" s="58"/>
      <c r="AH132" s="58"/>
      <c r="AI132" s="58"/>
      <c r="AJ132" s="58"/>
    </row>
    <row r="133" spans="1:36" ht="20" thickBot="1" x14ac:dyDescent="0.25">
      <c r="B133" s="76"/>
      <c r="C133" s="23"/>
      <c r="D133" s="23"/>
      <c r="E133" s="23"/>
      <c r="F133" s="23"/>
      <c r="N133" s="23"/>
      <c r="O133" s="23"/>
      <c r="AE133" s="58"/>
      <c r="AF133" s="58"/>
      <c r="AG133" s="58"/>
      <c r="AH133" s="58"/>
      <c r="AI133" s="58"/>
      <c r="AJ133" s="58"/>
    </row>
    <row r="134" spans="1:36" ht="22" thickBot="1" x14ac:dyDescent="0.25">
      <c r="A134" s="13" t="s">
        <v>76</v>
      </c>
      <c r="G134" s="23"/>
      <c r="H134" s="23"/>
      <c r="I134" s="23"/>
      <c r="J134" s="23"/>
      <c r="K134" s="23"/>
      <c r="L134" s="23"/>
      <c r="M134" s="23"/>
      <c r="P134" s="23"/>
      <c r="X134" s="23"/>
      <c r="Y134" s="23"/>
      <c r="Z134" s="23"/>
      <c r="AA134" s="23"/>
      <c r="AB134" s="23"/>
      <c r="AC134" s="23"/>
      <c r="AD134" s="23"/>
      <c r="AE134" s="58"/>
      <c r="AF134" s="58"/>
      <c r="AG134" s="58"/>
      <c r="AH134" s="58"/>
      <c r="AI134" s="58"/>
      <c r="AJ134" s="58"/>
    </row>
    <row r="135" spans="1:36" ht="20" thickBot="1" x14ac:dyDescent="0.25">
      <c r="A135" s="12" t="s">
        <v>77</v>
      </c>
      <c r="B135" s="71">
        <f>B49+B50+B51</f>
        <v>10666.57</v>
      </c>
      <c r="C135" s="71">
        <f t="shared" ref="C135:F135" si="112">C49+C50+C51</f>
        <v>10433</v>
      </c>
      <c r="D135" s="71">
        <f t="shared" si="112"/>
        <v>10600</v>
      </c>
      <c r="E135" s="71">
        <f t="shared" si="112"/>
        <v>10530</v>
      </c>
      <c r="F135" s="71">
        <f t="shared" si="112"/>
        <v>12641</v>
      </c>
      <c r="G135" s="23"/>
      <c r="H135" s="23"/>
      <c r="M135" s="23"/>
      <c r="N135" s="23"/>
      <c r="O135" s="23"/>
      <c r="P135" s="23"/>
      <c r="X135" s="23"/>
      <c r="Y135" s="23"/>
      <c r="AE135" s="58"/>
      <c r="AF135" s="58"/>
      <c r="AG135" s="58"/>
      <c r="AH135" s="58"/>
      <c r="AI135" s="58"/>
      <c r="AJ135" s="58"/>
    </row>
    <row r="136" spans="1:36" ht="20" thickBot="1" x14ac:dyDescent="0.25">
      <c r="A136" s="12" t="s">
        <v>78</v>
      </c>
      <c r="B136" s="71">
        <f>B57+B58+B59</f>
        <v>5528.8499999999995</v>
      </c>
      <c r="C136" s="71">
        <f t="shared" ref="C136:F136" si="113">C57+C58+C59</f>
        <v>5124.3</v>
      </c>
      <c r="D136" s="71">
        <f t="shared" si="113"/>
        <v>6231.8099999999995</v>
      </c>
      <c r="E136" s="71">
        <f t="shared" si="113"/>
        <v>6906.93</v>
      </c>
      <c r="F136" s="71">
        <f t="shared" si="113"/>
        <v>7119.21</v>
      </c>
      <c r="G136" s="23"/>
      <c r="H136" s="23"/>
      <c r="M136" s="23"/>
      <c r="N136" s="23"/>
      <c r="O136" s="23"/>
      <c r="P136" s="23"/>
      <c r="X136" s="23"/>
      <c r="Y136" s="23"/>
      <c r="AE136" s="58"/>
      <c r="AF136" s="58"/>
      <c r="AG136" s="58"/>
      <c r="AH136" s="58"/>
      <c r="AI136" s="58"/>
      <c r="AJ136" s="58"/>
    </row>
    <row r="137" spans="1:36" ht="20" hidden="1" thickBot="1" x14ac:dyDescent="0.25">
      <c r="A137" s="12" t="s">
        <v>104</v>
      </c>
      <c r="B137" s="75"/>
      <c r="C137" s="75"/>
      <c r="D137" s="75"/>
      <c r="E137" s="75"/>
      <c r="F137" s="75"/>
      <c r="N137" s="23"/>
      <c r="O137" s="23"/>
      <c r="R137" s="38"/>
      <c r="AE137" s="58"/>
      <c r="AF137" s="58"/>
      <c r="AG137" s="58"/>
      <c r="AH137" s="58"/>
      <c r="AI137" s="58"/>
      <c r="AJ137" s="58"/>
    </row>
    <row r="138" spans="1:36" ht="20" thickBot="1" x14ac:dyDescent="0.25">
      <c r="B138" s="59"/>
      <c r="C138" s="59"/>
      <c r="D138" s="59"/>
      <c r="E138" s="59"/>
      <c r="F138" s="59"/>
      <c r="N138" s="59"/>
      <c r="O138" s="59"/>
      <c r="Q138" s="23"/>
      <c r="R138" s="23"/>
      <c r="S138" s="23"/>
      <c r="T138" s="23"/>
      <c r="U138" s="23"/>
      <c r="V138" s="23"/>
      <c r="W138" s="23"/>
      <c r="AE138" s="58"/>
      <c r="AF138" s="58"/>
      <c r="AG138" s="58"/>
      <c r="AH138" s="58"/>
      <c r="AI138" s="58"/>
      <c r="AJ138" s="58"/>
    </row>
    <row r="139" spans="1:36" ht="20" thickBot="1" x14ac:dyDescent="0.25">
      <c r="A139" s="12" t="s">
        <v>117</v>
      </c>
      <c r="B139" s="77">
        <f>B135/B136</f>
        <v>1.9292565361693663</v>
      </c>
      <c r="C139" s="77">
        <f t="shared" ref="C139:F139" si="114">C135/C136</f>
        <v>2.0359854028842963</v>
      </c>
      <c r="D139" s="77">
        <f t="shared" si="114"/>
        <v>1.7009504461785583</v>
      </c>
      <c r="E139" s="77">
        <f t="shared" si="114"/>
        <v>1.5245557722461354</v>
      </c>
      <c r="F139" s="77">
        <f t="shared" si="114"/>
        <v>1.7756183621497328</v>
      </c>
      <c r="N139" s="78"/>
      <c r="O139" s="78"/>
      <c r="AE139" s="58"/>
      <c r="AF139" s="58"/>
      <c r="AG139" s="58"/>
      <c r="AH139" s="58"/>
      <c r="AI139" s="58"/>
      <c r="AJ139" s="58"/>
    </row>
    <row r="140" spans="1:36" ht="20" thickBot="1" x14ac:dyDescent="0.25">
      <c r="A140" s="12" t="s">
        <v>79</v>
      </c>
      <c r="B140" s="77">
        <f>(B49+B50)/B136</f>
        <v>1.3719001238955661</v>
      </c>
      <c r="C140" s="77">
        <f t="shared" ref="C140:F140" si="115">(C49+C50)/C136</f>
        <v>1.3728704408407002</v>
      </c>
      <c r="D140" s="77">
        <f t="shared" si="115"/>
        <v>1.0165585921265252</v>
      </c>
      <c r="E140" s="77">
        <f t="shared" si="115"/>
        <v>0.84552760777943303</v>
      </c>
      <c r="F140" s="77">
        <f t="shared" si="115"/>
        <v>1.0797546356969383</v>
      </c>
      <c r="N140" s="78"/>
      <c r="O140" s="78"/>
      <c r="AE140" s="58"/>
      <c r="AF140" s="58"/>
      <c r="AG140" s="58"/>
      <c r="AH140" s="58"/>
      <c r="AI140" s="58"/>
      <c r="AJ140" s="58"/>
    </row>
    <row r="141" spans="1:36" ht="20" thickBot="1" x14ac:dyDescent="0.25">
      <c r="A141" s="12" t="s">
        <v>80</v>
      </c>
      <c r="B141" s="77">
        <f>B49/B136</f>
        <v>0.76497644175551882</v>
      </c>
      <c r="C141" s="77">
        <f t="shared" ref="C141:F141" si="116">C49/C136</f>
        <v>0.61998712019202618</v>
      </c>
      <c r="D141" s="77">
        <f t="shared" si="116"/>
        <v>0.33826448495701894</v>
      </c>
      <c r="E141" s="77">
        <f t="shared" si="116"/>
        <v>0.21065799132175944</v>
      </c>
      <c r="F141" s="77">
        <f t="shared" si="116"/>
        <v>0.3791150984449117</v>
      </c>
      <c r="N141" s="78"/>
      <c r="O141" s="78"/>
      <c r="AE141" s="58"/>
      <c r="AF141" s="58"/>
      <c r="AG141" s="58"/>
      <c r="AH141" s="58"/>
      <c r="AI141" s="58"/>
      <c r="AJ141" s="58"/>
    </row>
    <row r="142" spans="1:36" ht="20" thickBot="1" x14ac:dyDescent="0.25">
      <c r="B142" s="59"/>
      <c r="C142" s="59"/>
      <c r="D142" s="59"/>
      <c r="E142" s="59"/>
      <c r="F142" s="59"/>
      <c r="N142" s="59"/>
      <c r="O142" s="59"/>
      <c r="AE142" s="58"/>
      <c r="AF142" s="58"/>
      <c r="AG142" s="58"/>
      <c r="AH142" s="58"/>
      <c r="AI142" s="58"/>
      <c r="AJ142" s="58"/>
    </row>
    <row r="143" spans="1:36" ht="22" thickBot="1" x14ac:dyDescent="0.25">
      <c r="A143" s="13" t="s">
        <v>81</v>
      </c>
      <c r="G143" s="23"/>
      <c r="H143" s="23"/>
      <c r="I143" s="23"/>
      <c r="J143" s="23"/>
      <c r="K143" s="23"/>
      <c r="L143" s="23"/>
      <c r="M143" s="23"/>
      <c r="P143" s="23"/>
      <c r="X143" s="23"/>
      <c r="Y143" s="23"/>
      <c r="Z143" s="23"/>
      <c r="AA143" s="23"/>
      <c r="AB143" s="23"/>
      <c r="AC143" s="23"/>
      <c r="AD143" s="23"/>
      <c r="AE143" s="58"/>
      <c r="AF143" s="58"/>
      <c r="AG143" s="58"/>
      <c r="AH143" s="58"/>
      <c r="AI143" s="58"/>
      <c r="AJ143" s="58"/>
    </row>
    <row r="144" spans="1:36" ht="20" thickBot="1" x14ac:dyDescent="0.25">
      <c r="A144" s="12" t="s">
        <v>89</v>
      </c>
      <c r="B144" s="71">
        <f>B61/B55</f>
        <v>0.49802867439902671</v>
      </c>
      <c r="C144" s="71">
        <f t="shared" ref="C144:F144" si="117">C61/C55</f>
        <v>0.51231726504880171</v>
      </c>
      <c r="D144" s="71">
        <f t="shared" si="117"/>
        <v>0.54058827062236936</v>
      </c>
      <c r="E144" s="71">
        <f t="shared" si="117"/>
        <v>0.55635320952176071</v>
      </c>
      <c r="F144" s="71">
        <f t="shared" si="117"/>
        <v>0.57752911940241336</v>
      </c>
      <c r="N144" s="76"/>
      <c r="O144" s="76"/>
      <c r="AE144" s="58"/>
      <c r="AF144" s="58"/>
      <c r="AG144" s="58"/>
      <c r="AH144" s="58"/>
      <c r="AI144" s="58"/>
      <c r="AJ144" s="58"/>
    </row>
    <row r="145" spans="1:36" ht="20" hidden="1" thickBot="1" x14ac:dyDescent="0.25">
      <c r="A145" s="72" t="s">
        <v>88</v>
      </c>
      <c r="B145" s="79"/>
      <c r="C145" s="79"/>
      <c r="D145" s="79"/>
      <c r="E145" s="79"/>
      <c r="F145" s="79"/>
      <c r="N145" s="76"/>
      <c r="O145" s="76"/>
      <c r="AE145" s="58"/>
      <c r="AF145" s="58"/>
      <c r="AG145" s="58"/>
      <c r="AH145" s="58"/>
      <c r="AI145" s="58"/>
      <c r="AJ145" s="58"/>
    </row>
    <row r="146" spans="1:36" ht="20" thickBot="1" x14ac:dyDescent="0.25">
      <c r="A146" s="12" t="s">
        <v>90</v>
      </c>
      <c r="B146" s="71">
        <f>B60/B65</f>
        <v>0.67708620638564121</v>
      </c>
      <c r="C146" s="71">
        <f t="shared" ref="C146:F146" si="118">C60/C65</f>
        <v>0.74606063475626849</v>
      </c>
      <c r="D146" s="71">
        <f t="shared" si="118"/>
        <v>0.81358044096786652</v>
      </c>
      <c r="E146" s="71">
        <f t="shared" si="118"/>
        <v>0.85534059031439735</v>
      </c>
      <c r="F146" s="71">
        <f t="shared" si="118"/>
        <v>0.95982228532146063</v>
      </c>
      <c r="N146" s="76"/>
      <c r="O146" s="76"/>
      <c r="AE146" s="58"/>
      <c r="AF146" s="58"/>
      <c r="AG146" s="58"/>
      <c r="AH146" s="58"/>
      <c r="AI146" s="58"/>
      <c r="AJ146" s="58"/>
    </row>
    <row r="147" spans="1:36" hidden="1" x14ac:dyDescent="0.2">
      <c r="A147" s="72" t="s">
        <v>91</v>
      </c>
      <c r="B147" s="73"/>
      <c r="C147" s="73"/>
      <c r="D147" s="73"/>
      <c r="E147" s="73"/>
      <c r="F147" s="73"/>
      <c r="N147" s="76"/>
      <c r="O147" s="76"/>
      <c r="AE147" s="58"/>
      <c r="AF147" s="58"/>
      <c r="AG147" s="58"/>
      <c r="AH147" s="58"/>
      <c r="AI147" s="58"/>
      <c r="AJ147" s="58"/>
    </row>
    <row r="148" spans="1:36" ht="20" thickBot="1" x14ac:dyDescent="0.25">
      <c r="AE148" s="58"/>
      <c r="AF148" s="58"/>
      <c r="AG148" s="58"/>
      <c r="AH148" s="58"/>
      <c r="AI148" s="58"/>
      <c r="AJ148" s="58"/>
    </row>
    <row r="149" spans="1:36" ht="20" thickBot="1" x14ac:dyDescent="0.25">
      <c r="A149" s="12" t="s">
        <v>114</v>
      </c>
      <c r="B149" s="71">
        <f>B60/B65</f>
        <v>0.67708620638564121</v>
      </c>
      <c r="C149" s="71">
        <f t="shared" ref="C149:F149" si="119">C60/C65</f>
        <v>0.74606063475626849</v>
      </c>
      <c r="D149" s="71">
        <f t="shared" si="119"/>
        <v>0.81358044096786652</v>
      </c>
      <c r="E149" s="71">
        <f t="shared" si="119"/>
        <v>0.85534059031439735</v>
      </c>
      <c r="F149" s="71">
        <f t="shared" si="119"/>
        <v>0.95982228532146063</v>
      </c>
      <c r="N149" s="76"/>
      <c r="O149" s="76"/>
      <c r="R149" s="20"/>
      <c r="S149" s="20"/>
      <c r="T149" s="20"/>
      <c r="U149" s="20"/>
      <c r="V149" s="20"/>
      <c r="AE149" s="58"/>
      <c r="AF149" s="58"/>
      <c r="AG149" s="58"/>
      <c r="AH149" s="58"/>
      <c r="AI149" s="58"/>
      <c r="AJ149" s="58"/>
    </row>
    <row r="150" spans="1:36" ht="20" thickBot="1" x14ac:dyDescent="0.25">
      <c r="A150" s="12" t="s">
        <v>115</v>
      </c>
      <c r="B150" s="71">
        <f>B102/B36</f>
        <v>13.914981769208461</v>
      </c>
      <c r="C150" s="71">
        <f t="shared" ref="C150:F150" si="120">C102/C36</f>
        <v>12.179251328492038</v>
      </c>
      <c r="D150" s="71">
        <f t="shared" si="120"/>
        <v>11.782341963459334</v>
      </c>
      <c r="E150" s="71">
        <f t="shared" si="120"/>
        <v>16.144006995004293</v>
      </c>
      <c r="F150" s="71">
        <f t="shared" si="120"/>
        <v>12.48141299212315</v>
      </c>
      <c r="N150" s="76"/>
      <c r="O150" s="76"/>
      <c r="AE150" s="58"/>
      <c r="AF150" s="58"/>
      <c r="AG150" s="58"/>
      <c r="AH150" s="58"/>
      <c r="AI150" s="58"/>
      <c r="AJ150" s="58"/>
    </row>
    <row r="151" spans="1:36" ht="20" thickBot="1" x14ac:dyDescent="0.25">
      <c r="R151" s="20"/>
      <c r="S151" s="20"/>
      <c r="T151" s="20"/>
      <c r="U151" s="20"/>
      <c r="V151" s="20"/>
      <c r="AE151" s="58"/>
      <c r="AF151" s="58"/>
      <c r="AG151" s="58"/>
      <c r="AH151" s="58"/>
      <c r="AI151" s="58"/>
      <c r="AJ151" s="58"/>
    </row>
    <row r="152" spans="1:36" ht="22" thickBot="1" x14ac:dyDescent="0.25">
      <c r="A152" s="13" t="s">
        <v>82</v>
      </c>
      <c r="R152" s="20"/>
      <c r="S152" s="20"/>
      <c r="T152" s="20"/>
      <c r="U152" s="20"/>
      <c r="V152" s="20"/>
      <c r="AE152" s="58"/>
      <c r="AF152" s="58"/>
      <c r="AG152" s="58"/>
      <c r="AH152" s="58"/>
      <c r="AI152" s="58"/>
      <c r="AJ152" s="58"/>
    </row>
    <row r="153" spans="1:36" ht="20" thickBot="1" x14ac:dyDescent="0.25">
      <c r="A153" s="12" t="s">
        <v>83</v>
      </c>
      <c r="B153" s="71">
        <f>B42/B71</f>
        <v>1.951496239852438</v>
      </c>
      <c r="C153" s="71">
        <f t="shared" ref="C153:F153" si="121">C42/C71</f>
        <v>1.487640116460166</v>
      </c>
      <c r="D153" s="71">
        <f t="shared" si="121"/>
        <v>1.2300858272900843</v>
      </c>
      <c r="E153" s="71">
        <f t="shared" si="121"/>
        <v>2.91438048606383</v>
      </c>
      <c r="F153" s="71">
        <f t="shared" si="121"/>
        <v>1.6350805169447813</v>
      </c>
      <c r="N153" s="38"/>
      <c r="O153" s="38"/>
      <c r="R153" s="20"/>
      <c r="S153" s="20"/>
      <c r="T153" s="20"/>
      <c r="U153" s="20"/>
      <c r="V153" s="20"/>
      <c r="AE153" s="58"/>
      <c r="AF153" s="58"/>
      <c r="AG153" s="58"/>
      <c r="AH153" s="58"/>
      <c r="AI153" s="58"/>
      <c r="AJ153" s="58"/>
    </row>
    <row r="154" spans="1:36" ht="20" thickBot="1" x14ac:dyDescent="0.25">
      <c r="A154" s="12" t="s">
        <v>116</v>
      </c>
      <c r="B154" s="71">
        <f>B73/B153</f>
        <v>21.972883741370861</v>
      </c>
      <c r="C154" s="71">
        <f t="shared" ref="C154:F154" si="122">C73/C153</f>
        <v>26.209295896628923</v>
      </c>
      <c r="D154" s="71">
        <f t="shared" si="122"/>
        <v>22.486235827085174</v>
      </c>
      <c r="E154" s="71">
        <f t="shared" si="122"/>
        <v>14.788734760645813</v>
      </c>
      <c r="F154" s="71">
        <f t="shared" si="122"/>
        <v>30.518374772907396</v>
      </c>
      <c r="I154" s="20"/>
      <c r="J154" s="20"/>
      <c r="K154" s="20"/>
      <c r="L154" s="20"/>
      <c r="N154" s="76"/>
      <c r="O154" s="76"/>
      <c r="Q154" s="23"/>
      <c r="R154" s="32"/>
      <c r="S154" s="23"/>
      <c r="T154" s="23"/>
      <c r="U154" s="23"/>
      <c r="V154" s="23"/>
      <c r="W154" s="23"/>
      <c r="Z154" s="20"/>
      <c r="AA154" s="20"/>
      <c r="AB154" s="20"/>
      <c r="AC154" s="20"/>
      <c r="AD154" s="20"/>
      <c r="AE154" s="58"/>
      <c r="AF154" s="58"/>
      <c r="AG154" s="58"/>
      <c r="AH154" s="58"/>
      <c r="AI154" s="58"/>
      <c r="AJ154" s="58"/>
    </row>
    <row r="155" spans="1:36" ht="20" thickBot="1" x14ac:dyDescent="0.25">
      <c r="P155" s="58"/>
      <c r="Q155" s="58"/>
      <c r="R155" s="58"/>
      <c r="S155" s="58"/>
      <c r="T155" s="58"/>
      <c r="U155" s="58"/>
    </row>
    <row r="156" spans="1:36" ht="20" thickBot="1" x14ac:dyDescent="0.25">
      <c r="A156" s="12" t="s">
        <v>105</v>
      </c>
      <c r="B156" s="71">
        <f>B72*B71</f>
        <v>2186.1823735763101</v>
      </c>
      <c r="C156" s="71">
        <f t="shared" ref="C156:F156" si="123">C72*C71</f>
        <v>2498.4941412300668</v>
      </c>
      <c r="D156" s="71">
        <f t="shared" si="123"/>
        <v>2912.9874088838278</v>
      </c>
      <c r="E156" s="71">
        <f t="shared" si="123"/>
        <v>3452.4295216400919</v>
      </c>
      <c r="F156" s="71">
        <f t="shared" si="123"/>
        <v>4152.8319000000001</v>
      </c>
      <c r="H156" s="38"/>
      <c r="P156" s="58"/>
      <c r="Q156" s="58"/>
      <c r="R156" s="58"/>
      <c r="S156" s="58"/>
      <c r="T156" s="58"/>
      <c r="U156" s="58"/>
    </row>
    <row r="157" spans="1:36" ht="20" thickBot="1" x14ac:dyDescent="0.25">
      <c r="A157" s="12" t="s">
        <v>84</v>
      </c>
      <c r="B157" s="91">
        <f>2191.46/B42*100</f>
        <v>93.846480092721379</v>
      </c>
      <c r="C157" s="91">
        <f t="shared" ref="C157:F157" si="124">2191.46/C42*100</f>
        <v>123.10843933149371</v>
      </c>
      <c r="D157" s="91">
        <f t="shared" si="124"/>
        <v>143.66220987775642</v>
      </c>
      <c r="E157" s="91">
        <f t="shared" si="124"/>
        <v>60.636162344909181</v>
      </c>
      <c r="F157" s="91">
        <f t="shared" si="124"/>
        <v>103.88935001983761</v>
      </c>
      <c r="H157" s="76"/>
      <c r="J157" s="12"/>
      <c r="K157" s="20"/>
      <c r="L157" s="20"/>
      <c r="M157" s="20"/>
      <c r="N157" s="20"/>
      <c r="O157" s="20"/>
      <c r="P157" s="58"/>
      <c r="Q157" s="58"/>
      <c r="R157" s="58"/>
      <c r="S157" s="58"/>
      <c r="T157" s="58"/>
      <c r="U157" s="58"/>
    </row>
    <row r="158" spans="1:36" ht="20" thickBot="1" x14ac:dyDescent="0.25">
      <c r="A158" s="12" t="s">
        <v>85</v>
      </c>
      <c r="B158" s="91">
        <f>B72/B73*100</f>
        <v>4.2607276119402977</v>
      </c>
      <c r="C158" s="91">
        <f t="shared" ref="C158:F158" si="125">C72/C73*100</f>
        <v>5.3552192869966664</v>
      </c>
      <c r="D158" s="91">
        <f t="shared" si="125"/>
        <v>8.492407809110631</v>
      </c>
      <c r="E158" s="91">
        <f t="shared" si="125"/>
        <v>6.4593967517401403</v>
      </c>
      <c r="F158" s="91">
        <f t="shared" si="125"/>
        <v>6.4509018036072145</v>
      </c>
      <c r="H158" s="38"/>
      <c r="P158" s="58"/>
      <c r="Q158" s="58"/>
      <c r="R158" s="58"/>
      <c r="S158" s="58"/>
      <c r="T158" s="58"/>
      <c r="U158" s="58"/>
    </row>
    <row r="159" spans="1:36" ht="20" hidden="1" thickBot="1" x14ac:dyDescent="0.25">
      <c r="Q159" s="70"/>
      <c r="R159" s="32"/>
      <c r="S159" s="23"/>
      <c r="T159" s="23"/>
      <c r="U159" s="23"/>
      <c r="V159" s="23"/>
      <c r="W159" s="70"/>
      <c r="AE159" s="58"/>
      <c r="AF159" s="58"/>
      <c r="AG159" s="58"/>
      <c r="AH159" s="58"/>
      <c r="AI159" s="58"/>
      <c r="AJ159" s="58"/>
    </row>
    <row r="160" spans="1:36" ht="20" hidden="1" thickBot="1" x14ac:dyDescent="0.25">
      <c r="A160" s="12" t="s">
        <v>86</v>
      </c>
      <c r="B160" s="75">
        <f>B65/B71</f>
        <v>14.665023205522115</v>
      </c>
      <c r="C160" s="75">
        <f>C65/C71</f>
        <v>14.064663321982289</v>
      </c>
      <c r="D160" s="75">
        <f>D65/D71</f>
        <v>13.839571638041003</v>
      </c>
      <c r="E160" s="75">
        <f>E65/E71</f>
        <v>13.969952124104834</v>
      </c>
      <c r="F160" s="75">
        <f>F65/F71</f>
        <v>13.549584745789819</v>
      </c>
      <c r="I160" s="20"/>
      <c r="J160" s="20"/>
      <c r="K160" s="20"/>
      <c r="L160" s="20"/>
      <c r="N160" s="76"/>
      <c r="O160" s="76"/>
      <c r="Q160" s="20"/>
      <c r="R160" s="32"/>
      <c r="S160" s="23"/>
      <c r="T160" s="23"/>
      <c r="U160" s="23"/>
      <c r="V160" s="23"/>
      <c r="W160" s="20"/>
      <c r="Z160" s="20"/>
      <c r="AA160" s="20"/>
      <c r="AB160" s="20"/>
      <c r="AC160" s="20"/>
      <c r="AD160" s="20"/>
      <c r="AE160" s="58"/>
      <c r="AF160" s="58"/>
      <c r="AG160" s="58"/>
      <c r="AH160" s="58"/>
      <c r="AI160" s="58"/>
      <c r="AJ160" s="58"/>
    </row>
    <row r="161" spans="1:37" ht="20" hidden="1" thickBot="1" x14ac:dyDescent="0.25">
      <c r="A161" s="12" t="s">
        <v>87</v>
      </c>
      <c r="B161" s="71">
        <f>B73/B160</f>
        <v>2.9239640059930854</v>
      </c>
      <c r="C161" s="71">
        <f>C73/C160</f>
        <v>2.7721957580783889</v>
      </c>
      <c r="D161" s="71">
        <f>D73/D160</f>
        <v>1.9986167724997077</v>
      </c>
      <c r="E161" s="71">
        <f>E73/E160</f>
        <v>3.0851931071139416</v>
      </c>
      <c r="F161" s="71">
        <f>F73/F160</f>
        <v>3.682769688975533</v>
      </c>
      <c r="I161" s="20"/>
      <c r="J161" s="20"/>
      <c r="K161" s="20"/>
      <c r="L161" s="20"/>
      <c r="N161" s="76"/>
      <c r="O161" s="76"/>
      <c r="Q161" s="20"/>
      <c r="R161" s="32"/>
      <c r="S161" s="23"/>
      <c r="T161" s="23"/>
      <c r="U161" s="23"/>
      <c r="V161" s="23"/>
      <c r="W161" s="20"/>
      <c r="Z161" s="20"/>
      <c r="AA161" s="20"/>
      <c r="AB161" s="20"/>
      <c r="AC161" s="20"/>
      <c r="AD161" s="20"/>
      <c r="AE161" s="58"/>
      <c r="AF161" s="58"/>
      <c r="AG161" s="58"/>
      <c r="AH161" s="58"/>
      <c r="AI161" s="58"/>
      <c r="AJ161" s="58"/>
    </row>
    <row r="162" spans="1:37" x14ac:dyDescent="0.2">
      <c r="B162" s="76"/>
      <c r="C162" s="76"/>
      <c r="D162" s="76"/>
      <c r="E162" s="76"/>
      <c r="F162" s="76"/>
      <c r="I162" s="20"/>
      <c r="J162" s="20"/>
      <c r="K162" s="20"/>
      <c r="L162" s="20"/>
      <c r="N162" s="76"/>
      <c r="O162" s="76"/>
      <c r="Q162" s="20"/>
      <c r="R162" s="32"/>
      <c r="S162" s="23"/>
      <c r="T162" s="23"/>
      <c r="U162" s="23"/>
      <c r="V162" s="23"/>
      <c r="W162" s="20"/>
      <c r="Z162" s="20"/>
      <c r="AA162" s="20"/>
      <c r="AB162" s="20"/>
      <c r="AC162" s="20"/>
      <c r="AD162" s="20"/>
      <c r="AE162" s="58"/>
      <c r="AF162" s="58"/>
      <c r="AG162" s="58"/>
      <c r="AH162" s="58"/>
      <c r="AI162" s="58"/>
      <c r="AJ162" s="58"/>
    </row>
    <row r="163" spans="1:37" x14ac:dyDescent="0.2">
      <c r="A163" s="14"/>
      <c r="B163" s="15"/>
      <c r="C163" s="20"/>
      <c r="D163" s="20"/>
      <c r="E163" s="20"/>
      <c r="F163" s="20"/>
      <c r="G163" s="70"/>
      <c r="H163" s="70"/>
      <c r="I163" s="23"/>
      <c r="J163" s="23"/>
      <c r="K163" s="23"/>
      <c r="L163" s="23"/>
      <c r="M163" s="70"/>
      <c r="N163" s="20"/>
      <c r="O163" s="20"/>
      <c r="P163" s="70"/>
      <c r="Q163" s="23"/>
      <c r="R163" s="32"/>
      <c r="S163" s="23"/>
      <c r="T163" s="23"/>
      <c r="U163" s="23"/>
      <c r="V163" s="23"/>
      <c r="W163" s="23"/>
      <c r="X163" s="70"/>
      <c r="Y163" s="70"/>
      <c r="Z163" s="32"/>
      <c r="AA163" s="23"/>
      <c r="AB163" s="23"/>
      <c r="AC163" s="23"/>
      <c r="AD163" s="23"/>
      <c r="AE163" s="23"/>
      <c r="AF163" s="58"/>
      <c r="AG163" s="58"/>
      <c r="AH163" s="58"/>
      <c r="AI163" s="58"/>
      <c r="AJ163" s="58"/>
      <c r="AK163" s="58"/>
    </row>
    <row r="164" spans="1:37" x14ac:dyDescent="0.2">
      <c r="A164" s="14"/>
      <c r="B164" s="15"/>
      <c r="C164" s="20"/>
      <c r="D164" s="20"/>
      <c r="E164" s="20"/>
      <c r="F164" s="20"/>
      <c r="G164" s="70"/>
      <c r="H164" s="70"/>
      <c r="I164" s="23"/>
      <c r="J164" s="23"/>
      <c r="K164" s="23"/>
      <c r="L164" s="23"/>
      <c r="M164" s="70"/>
      <c r="N164" s="20"/>
      <c r="O164" s="20"/>
      <c r="P164" s="70"/>
      <c r="Q164" s="23"/>
      <c r="R164" s="32"/>
      <c r="S164" s="23"/>
      <c r="T164" s="23"/>
      <c r="U164" s="23"/>
      <c r="V164" s="23"/>
      <c r="W164" s="23"/>
      <c r="X164" s="70"/>
      <c r="Y164" s="70"/>
      <c r="Z164" s="32"/>
      <c r="AA164" s="23"/>
      <c r="AB164" s="23"/>
      <c r="AC164" s="23"/>
      <c r="AD164" s="23"/>
      <c r="AE164" s="23"/>
      <c r="AF164" s="58"/>
      <c r="AG164" s="58"/>
      <c r="AH164" s="58"/>
      <c r="AI164" s="58"/>
      <c r="AJ164" s="58"/>
      <c r="AK164" s="58"/>
    </row>
    <row r="165" spans="1:37" x14ac:dyDescent="0.2">
      <c r="B165" s="26"/>
      <c r="C165" s="26"/>
      <c r="D165" s="26"/>
      <c r="E165" s="26"/>
      <c r="F165" s="26"/>
      <c r="G165" s="20"/>
      <c r="H165" s="20"/>
      <c r="I165" s="23"/>
      <c r="J165" s="23"/>
      <c r="K165" s="23"/>
      <c r="L165" s="23"/>
      <c r="M165" s="20"/>
      <c r="N165" s="26"/>
      <c r="O165" s="26"/>
      <c r="P165" s="20"/>
      <c r="Q165" s="23"/>
      <c r="R165" s="32"/>
      <c r="S165" s="23"/>
      <c r="T165" s="23"/>
      <c r="U165" s="23"/>
      <c r="V165" s="23"/>
      <c r="W165" s="23"/>
      <c r="X165" s="20"/>
      <c r="Y165" s="20"/>
      <c r="Z165" s="32"/>
      <c r="AA165" s="23"/>
      <c r="AB165" s="23"/>
      <c r="AC165" s="23"/>
      <c r="AD165" s="23"/>
      <c r="AE165" s="23"/>
      <c r="AF165" s="58"/>
      <c r="AG165" s="58"/>
      <c r="AH165" s="58"/>
      <c r="AI165" s="58"/>
      <c r="AJ165" s="58"/>
      <c r="AK165" s="58"/>
    </row>
    <row r="166" spans="1:37" x14ac:dyDescent="0.2">
      <c r="A166" s="32"/>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32"/>
      <c r="AA166" s="23"/>
      <c r="AB166" s="23"/>
      <c r="AC166" s="23"/>
      <c r="AD166" s="23"/>
      <c r="AE166" s="23"/>
      <c r="AF166" s="58"/>
      <c r="AG166" s="58"/>
      <c r="AH166" s="58"/>
      <c r="AI166" s="58"/>
      <c r="AJ166" s="58"/>
      <c r="AK166" s="58"/>
    </row>
    <row r="167" spans="1:37" x14ac:dyDescent="0.2">
      <c r="B167" s="24"/>
      <c r="C167" s="24"/>
      <c r="D167" s="24"/>
      <c r="E167" s="24"/>
      <c r="F167" s="24"/>
      <c r="G167" s="23"/>
      <c r="H167" s="23"/>
      <c r="I167" s="23"/>
      <c r="J167" s="23"/>
      <c r="K167" s="23"/>
      <c r="L167" s="23"/>
      <c r="M167" s="23"/>
      <c r="N167" s="24"/>
      <c r="O167" s="24"/>
      <c r="P167" s="23"/>
      <c r="Q167" s="23"/>
      <c r="R167" s="23"/>
      <c r="S167" s="23"/>
      <c r="T167" s="23"/>
      <c r="U167" s="23"/>
      <c r="V167" s="23"/>
      <c r="W167" s="23"/>
      <c r="X167" s="23"/>
      <c r="Y167" s="23"/>
      <c r="Z167" s="32"/>
      <c r="AA167" s="23"/>
      <c r="AB167" s="23"/>
      <c r="AC167" s="23"/>
      <c r="AD167" s="23"/>
      <c r="AE167" s="23"/>
      <c r="AF167" s="58"/>
      <c r="AG167" s="58"/>
      <c r="AH167" s="58"/>
      <c r="AI167" s="58"/>
      <c r="AJ167" s="58"/>
      <c r="AK167" s="58"/>
    </row>
    <row r="168" spans="1:37" x14ac:dyDescent="0.2">
      <c r="A168" s="25"/>
      <c r="B168" s="24"/>
      <c r="C168" s="24"/>
      <c r="D168" s="24"/>
      <c r="E168" s="24"/>
      <c r="F168" s="24"/>
      <c r="G168" s="23"/>
      <c r="H168" s="23"/>
      <c r="I168" s="23"/>
      <c r="J168" s="23"/>
      <c r="K168" s="23"/>
      <c r="L168" s="23"/>
      <c r="M168" s="23"/>
      <c r="N168" s="24"/>
      <c r="O168" s="24"/>
      <c r="P168" s="23"/>
      <c r="Q168" s="23"/>
      <c r="R168" s="23"/>
      <c r="S168" s="23"/>
      <c r="T168" s="23"/>
      <c r="U168" s="23"/>
      <c r="V168" s="23"/>
      <c r="W168" s="23"/>
      <c r="X168" s="23"/>
      <c r="Y168" s="23"/>
      <c r="Z168" s="32"/>
      <c r="AA168" s="23"/>
      <c r="AB168" s="23"/>
      <c r="AC168" s="23"/>
      <c r="AD168" s="23"/>
      <c r="AE168" s="23"/>
      <c r="AF168" s="58"/>
      <c r="AG168" s="58"/>
      <c r="AH168" s="58"/>
      <c r="AI168" s="58"/>
      <c r="AJ168" s="58"/>
      <c r="AK168" s="58"/>
    </row>
    <row r="169" spans="1:37" x14ac:dyDescent="0.2">
      <c r="A169" s="25"/>
      <c r="B169" s="80"/>
      <c r="C169" s="80"/>
      <c r="D169" s="80"/>
      <c r="E169" s="80"/>
      <c r="F169" s="80"/>
      <c r="G169" s="23"/>
      <c r="H169" s="23"/>
      <c r="I169" s="23"/>
      <c r="J169" s="23"/>
      <c r="K169" s="23"/>
      <c r="L169" s="23"/>
      <c r="M169" s="23"/>
      <c r="N169" s="80"/>
      <c r="O169" s="80"/>
      <c r="P169" s="23"/>
      <c r="Q169" s="23"/>
      <c r="R169" s="23"/>
      <c r="S169" s="23"/>
      <c r="T169" s="23"/>
      <c r="U169" s="23"/>
      <c r="V169" s="23"/>
      <c r="W169" s="23"/>
      <c r="X169" s="23"/>
      <c r="Y169" s="23"/>
      <c r="Z169" s="32"/>
      <c r="AA169" s="23"/>
      <c r="AB169" s="23"/>
      <c r="AC169" s="23"/>
      <c r="AD169" s="23"/>
      <c r="AE169" s="23"/>
      <c r="AF169" s="58"/>
      <c r="AG169" s="58"/>
      <c r="AH169" s="58"/>
      <c r="AI169" s="58"/>
      <c r="AJ169" s="58"/>
      <c r="AK169" s="58"/>
    </row>
    <row r="170" spans="1:37" x14ac:dyDescent="0.2">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32"/>
      <c r="AA170" s="23"/>
      <c r="AB170" s="23"/>
      <c r="AC170" s="23"/>
      <c r="AD170" s="23"/>
      <c r="AE170" s="23"/>
      <c r="AF170" s="58"/>
      <c r="AG170" s="58"/>
      <c r="AH170" s="58"/>
      <c r="AI170" s="58"/>
      <c r="AJ170" s="58"/>
      <c r="AK170" s="58"/>
    </row>
    <row r="171" spans="1:37" ht="21" x14ac:dyDescent="0.2">
      <c r="A171" s="30"/>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58"/>
      <c r="AF171" s="58"/>
      <c r="AG171" s="58"/>
      <c r="AH171" s="58"/>
      <c r="AI171" s="58"/>
      <c r="AJ171" s="58"/>
    </row>
    <row r="172" spans="1:37" x14ac:dyDescent="0.2">
      <c r="A172" s="32"/>
      <c r="B172" s="23"/>
      <c r="C172" s="70"/>
      <c r="D172" s="70"/>
      <c r="E172" s="70"/>
      <c r="F172" s="70"/>
      <c r="G172" s="23"/>
      <c r="H172" s="23"/>
      <c r="I172" s="23"/>
      <c r="J172" s="23"/>
      <c r="K172" s="23"/>
      <c r="L172" s="23"/>
      <c r="M172" s="23"/>
      <c r="N172" s="70"/>
      <c r="O172" s="70"/>
      <c r="P172" s="23"/>
      <c r="Q172" s="23"/>
      <c r="R172" s="23"/>
      <c r="S172" s="23"/>
      <c r="T172" s="23"/>
      <c r="U172" s="23"/>
      <c r="V172" s="23"/>
      <c r="W172" s="23"/>
      <c r="X172" s="23"/>
      <c r="Y172" s="23"/>
      <c r="Z172" s="23"/>
      <c r="AA172" s="23"/>
      <c r="AB172" s="23"/>
      <c r="AC172" s="23"/>
      <c r="AD172" s="23"/>
      <c r="AE172" s="58"/>
      <c r="AF172" s="58"/>
      <c r="AG172" s="58"/>
      <c r="AH172" s="58"/>
      <c r="AI172" s="58"/>
      <c r="AJ172" s="58"/>
    </row>
    <row r="173" spans="1:37" x14ac:dyDescent="0.2">
      <c r="A173" s="32"/>
      <c r="B173" s="20"/>
      <c r="C173" s="20"/>
      <c r="D173" s="20"/>
      <c r="E173" s="20"/>
      <c r="F173" s="20"/>
      <c r="G173" s="23"/>
      <c r="H173" s="23"/>
      <c r="I173" s="23"/>
      <c r="J173" s="23"/>
      <c r="K173" s="23"/>
      <c r="L173" s="23"/>
      <c r="M173" s="23"/>
      <c r="N173" s="20"/>
      <c r="O173" s="20"/>
      <c r="P173" s="23"/>
      <c r="Q173" s="23"/>
      <c r="R173" s="23"/>
      <c r="S173" s="23"/>
      <c r="T173" s="23"/>
      <c r="U173" s="23"/>
      <c r="V173" s="23"/>
      <c r="W173" s="23"/>
      <c r="X173" s="23"/>
      <c r="Y173" s="23"/>
      <c r="Z173" s="23"/>
      <c r="AA173" s="23"/>
      <c r="AB173" s="23"/>
      <c r="AC173" s="23"/>
      <c r="AD173" s="23"/>
      <c r="AE173" s="58"/>
      <c r="AF173" s="58"/>
      <c r="AG173" s="58"/>
      <c r="AH173" s="58"/>
      <c r="AI173" s="58"/>
      <c r="AJ173" s="58"/>
    </row>
    <row r="174" spans="1:37" x14ac:dyDescent="0.2">
      <c r="A174" s="32"/>
      <c r="B174" s="20"/>
      <c r="C174" s="20"/>
      <c r="D174" s="20"/>
      <c r="E174" s="20"/>
      <c r="F174" s="20"/>
      <c r="G174" s="23"/>
      <c r="H174" s="23"/>
      <c r="I174" s="23"/>
      <c r="J174" s="23"/>
      <c r="K174" s="23"/>
      <c r="L174" s="23"/>
      <c r="M174" s="23"/>
      <c r="N174" s="20"/>
      <c r="O174" s="20"/>
      <c r="P174" s="23"/>
      <c r="Q174" s="23"/>
      <c r="R174" s="23"/>
      <c r="S174" s="23"/>
      <c r="T174" s="23"/>
      <c r="U174" s="23"/>
      <c r="V174" s="23"/>
      <c r="W174" s="23"/>
      <c r="X174" s="23"/>
      <c r="Y174" s="23"/>
      <c r="Z174" s="23"/>
      <c r="AA174" s="23"/>
      <c r="AB174" s="23"/>
      <c r="AC174" s="23"/>
      <c r="AD174" s="23"/>
      <c r="AE174" s="58"/>
      <c r="AF174" s="58"/>
      <c r="AG174" s="58"/>
      <c r="AH174" s="58"/>
      <c r="AI174" s="58"/>
      <c r="AJ174" s="58"/>
    </row>
    <row r="175" spans="1:37" x14ac:dyDescent="0.2">
      <c r="A175" s="32"/>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58"/>
      <c r="AF175" s="58"/>
      <c r="AG175" s="58"/>
      <c r="AH175" s="58"/>
      <c r="AI175" s="58"/>
      <c r="AJ175" s="58"/>
    </row>
    <row r="176" spans="1:37" x14ac:dyDescent="0.2">
      <c r="A176" s="32"/>
      <c r="B176" s="20"/>
      <c r="C176" s="20"/>
      <c r="D176" s="20"/>
      <c r="E176" s="20"/>
      <c r="F176" s="20"/>
      <c r="G176" s="23"/>
      <c r="H176" s="23"/>
      <c r="I176" s="23"/>
      <c r="J176" s="23"/>
      <c r="K176" s="23"/>
      <c r="L176" s="23"/>
      <c r="M176" s="23"/>
      <c r="N176" s="20"/>
      <c r="O176" s="20"/>
      <c r="P176" s="23"/>
      <c r="Q176" s="23"/>
      <c r="R176" s="23"/>
      <c r="S176" s="23"/>
      <c r="T176" s="23"/>
      <c r="U176" s="23"/>
      <c r="V176" s="23"/>
      <c r="W176" s="23"/>
      <c r="X176" s="23"/>
      <c r="Y176" s="23"/>
      <c r="Z176" s="23"/>
      <c r="AA176" s="23"/>
      <c r="AB176" s="23"/>
      <c r="AC176" s="23"/>
      <c r="AD176" s="23"/>
      <c r="AE176" s="58"/>
      <c r="AF176" s="58"/>
      <c r="AG176" s="58"/>
      <c r="AH176" s="58"/>
      <c r="AI176" s="58"/>
      <c r="AJ176" s="58"/>
    </row>
    <row r="177" spans="1:36" x14ac:dyDescent="0.2">
      <c r="A177" s="32"/>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58"/>
      <c r="AF177" s="58"/>
      <c r="AG177" s="58"/>
      <c r="AH177" s="58"/>
      <c r="AI177" s="58"/>
      <c r="AJ177" s="58"/>
    </row>
    <row r="178" spans="1:36" x14ac:dyDescent="0.2">
      <c r="A178" s="32"/>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58"/>
      <c r="AF178" s="58"/>
      <c r="AG178" s="58"/>
      <c r="AH178" s="58"/>
      <c r="AI178" s="58"/>
      <c r="AJ178" s="58"/>
    </row>
    <row r="179" spans="1:36" x14ac:dyDescent="0.2">
      <c r="A179" s="32"/>
      <c r="B179" s="20"/>
      <c r="C179" s="20"/>
      <c r="D179" s="20"/>
      <c r="E179" s="20"/>
      <c r="F179" s="20"/>
      <c r="G179" s="23"/>
      <c r="H179" s="23"/>
      <c r="I179" s="23"/>
      <c r="J179" s="23"/>
      <c r="K179" s="23"/>
      <c r="L179" s="23"/>
      <c r="M179" s="23"/>
      <c r="N179" s="20"/>
      <c r="O179" s="20"/>
      <c r="P179" s="23"/>
      <c r="Q179" s="23"/>
      <c r="R179" s="23"/>
      <c r="S179" s="23"/>
      <c r="T179" s="23"/>
      <c r="U179" s="23"/>
      <c r="V179" s="23"/>
      <c r="W179" s="23"/>
      <c r="X179" s="23"/>
      <c r="Y179" s="23"/>
      <c r="Z179" s="23"/>
      <c r="AA179" s="23"/>
      <c r="AB179" s="23"/>
      <c r="AC179" s="23"/>
      <c r="AD179" s="23"/>
      <c r="AE179" s="58"/>
      <c r="AF179" s="58"/>
      <c r="AG179" s="58"/>
      <c r="AH179" s="58"/>
      <c r="AI179" s="58"/>
      <c r="AJ179" s="58"/>
    </row>
    <row r="180" spans="1:36" x14ac:dyDescent="0.2">
      <c r="G180" s="23"/>
      <c r="H180" s="23"/>
      <c r="I180" s="23"/>
      <c r="J180" s="23"/>
      <c r="K180" s="23"/>
      <c r="L180" s="23"/>
      <c r="M180" s="23"/>
      <c r="P180" s="23"/>
      <c r="Q180" s="23"/>
      <c r="R180" s="23"/>
      <c r="S180" s="23"/>
      <c r="T180" s="23"/>
      <c r="U180" s="23"/>
      <c r="V180" s="23"/>
      <c r="W180" s="23"/>
      <c r="X180" s="23"/>
      <c r="Y180" s="23"/>
      <c r="Z180" s="23"/>
      <c r="AA180" s="23"/>
      <c r="AB180" s="23"/>
      <c r="AC180" s="23"/>
      <c r="AD180" s="23"/>
      <c r="AE180" s="58"/>
      <c r="AF180" s="58"/>
      <c r="AG180" s="58"/>
      <c r="AH180" s="58"/>
      <c r="AI180" s="58"/>
      <c r="AJ180" s="58"/>
    </row>
    <row r="181" spans="1:36" x14ac:dyDescent="0.2">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58"/>
      <c r="AF181" s="58"/>
      <c r="AG181" s="58"/>
      <c r="AH181" s="58"/>
      <c r="AI181" s="58"/>
      <c r="AJ181" s="58"/>
    </row>
    <row r="182" spans="1:36" x14ac:dyDescent="0.2">
      <c r="B182" s="20"/>
      <c r="C182" s="20"/>
      <c r="D182" s="20"/>
      <c r="E182" s="20"/>
      <c r="F182" s="20"/>
      <c r="G182" s="23"/>
      <c r="H182" s="23"/>
      <c r="I182" s="23"/>
      <c r="J182" s="23"/>
      <c r="K182" s="23"/>
      <c r="L182" s="23"/>
      <c r="M182" s="23"/>
      <c r="N182" s="20"/>
      <c r="O182" s="20"/>
      <c r="P182" s="23"/>
      <c r="Q182" s="23"/>
      <c r="R182" s="23"/>
      <c r="S182" s="23"/>
      <c r="T182" s="23"/>
      <c r="U182" s="23"/>
      <c r="V182" s="23"/>
      <c r="W182" s="23"/>
      <c r="X182" s="23"/>
      <c r="Y182" s="23"/>
      <c r="Z182" s="23"/>
      <c r="AA182" s="23"/>
      <c r="AB182" s="23"/>
      <c r="AC182" s="23"/>
      <c r="AD182" s="23"/>
      <c r="AE182" s="58"/>
      <c r="AF182" s="58"/>
      <c r="AG182" s="58"/>
      <c r="AH182" s="58"/>
      <c r="AI182" s="58"/>
      <c r="AJ182" s="58"/>
    </row>
    <row r="183" spans="1:36" x14ac:dyDescent="0.2">
      <c r="B183" s="38"/>
      <c r="C183" s="38"/>
      <c r="D183" s="38"/>
      <c r="E183" s="38"/>
      <c r="F183" s="38"/>
      <c r="G183" s="23"/>
      <c r="H183" s="23"/>
      <c r="I183" s="23"/>
      <c r="J183" s="23"/>
      <c r="K183" s="23"/>
      <c r="L183" s="23"/>
      <c r="M183" s="23"/>
      <c r="N183" s="38"/>
      <c r="O183" s="38"/>
      <c r="P183" s="23"/>
      <c r="Q183" s="23"/>
      <c r="R183" s="23"/>
      <c r="S183" s="23"/>
      <c r="T183" s="23"/>
      <c r="U183" s="23"/>
      <c r="V183" s="23"/>
      <c r="W183" s="23"/>
      <c r="X183" s="23"/>
      <c r="Y183" s="23"/>
      <c r="Z183" s="23"/>
      <c r="AA183" s="23"/>
      <c r="AB183" s="23"/>
      <c r="AC183" s="23"/>
      <c r="AD183" s="23"/>
      <c r="AE183" s="58"/>
      <c r="AF183" s="58"/>
      <c r="AG183" s="58"/>
      <c r="AH183" s="58"/>
      <c r="AI183" s="58"/>
      <c r="AJ183" s="58"/>
    </row>
    <row r="184" spans="1:36" x14ac:dyDescent="0.2">
      <c r="G184" s="23"/>
      <c r="H184" s="23"/>
      <c r="I184" s="23"/>
      <c r="J184" s="23"/>
      <c r="K184" s="23"/>
      <c r="L184" s="23"/>
      <c r="M184" s="23"/>
      <c r="P184" s="23"/>
      <c r="Q184" s="23"/>
      <c r="R184" s="23"/>
      <c r="S184" s="23"/>
      <c r="T184" s="23"/>
      <c r="U184" s="23"/>
      <c r="V184" s="23"/>
      <c r="W184" s="23"/>
      <c r="X184" s="23"/>
      <c r="Y184" s="23"/>
      <c r="Z184" s="23"/>
      <c r="AA184" s="23"/>
      <c r="AB184" s="23"/>
      <c r="AC184" s="23"/>
      <c r="AD184" s="23"/>
      <c r="AE184" s="58"/>
      <c r="AF184" s="58"/>
      <c r="AG184" s="58"/>
      <c r="AH184" s="58"/>
      <c r="AI184" s="58"/>
      <c r="AJ184" s="58"/>
    </row>
    <row r="185" spans="1:36" x14ac:dyDescent="0.2">
      <c r="B185" s="20"/>
      <c r="C185" s="20"/>
      <c r="D185" s="20"/>
      <c r="E185" s="20"/>
      <c r="F185" s="20"/>
      <c r="G185" s="23"/>
      <c r="H185" s="23"/>
      <c r="I185" s="23"/>
      <c r="J185" s="23"/>
      <c r="K185" s="23"/>
      <c r="L185" s="23"/>
      <c r="M185" s="23"/>
      <c r="N185" s="20"/>
      <c r="O185" s="20"/>
      <c r="P185" s="23"/>
      <c r="Q185" s="23"/>
      <c r="R185" s="23"/>
      <c r="S185" s="23"/>
      <c r="T185" s="23"/>
      <c r="U185" s="23"/>
      <c r="V185" s="23"/>
      <c r="W185" s="23"/>
      <c r="X185" s="23"/>
      <c r="Y185" s="23"/>
      <c r="Z185" s="23"/>
      <c r="AA185" s="23"/>
      <c r="AB185" s="23"/>
      <c r="AC185" s="23"/>
      <c r="AD185" s="23"/>
      <c r="AE185" s="58"/>
      <c r="AF185" s="58"/>
      <c r="AG185" s="58"/>
      <c r="AH185" s="58"/>
      <c r="AI185" s="58"/>
      <c r="AJ185" s="58"/>
    </row>
    <row r="186" spans="1:36" x14ac:dyDescent="0.2">
      <c r="G186" s="23"/>
      <c r="H186" s="23"/>
      <c r="I186" s="23"/>
      <c r="J186" s="23"/>
      <c r="K186" s="23"/>
      <c r="L186" s="23"/>
      <c r="M186" s="23"/>
      <c r="P186" s="23"/>
      <c r="X186" s="23"/>
      <c r="Y186" s="23"/>
      <c r="Z186" s="23"/>
      <c r="AA186" s="23"/>
      <c r="AB186" s="23"/>
      <c r="AC186" s="23"/>
      <c r="AD186" s="23"/>
      <c r="AE186" s="58"/>
      <c r="AF186" s="58"/>
      <c r="AG186" s="58"/>
      <c r="AH186" s="58"/>
      <c r="AI186" s="58"/>
      <c r="AJ186" s="58"/>
    </row>
    <row r="187" spans="1:36" x14ac:dyDescent="0.2">
      <c r="B187" s="20"/>
      <c r="C187" s="20"/>
      <c r="D187" s="20"/>
      <c r="E187" s="20"/>
      <c r="F187" s="20"/>
      <c r="G187" s="23"/>
      <c r="H187" s="23"/>
      <c r="I187" s="23"/>
      <c r="J187" s="23"/>
      <c r="K187" s="23"/>
      <c r="L187" s="23"/>
      <c r="M187" s="23"/>
      <c r="N187" s="20"/>
      <c r="O187" s="20"/>
      <c r="P187" s="23"/>
      <c r="X187" s="23"/>
      <c r="Y187" s="23"/>
      <c r="Z187" s="23"/>
      <c r="AA187" s="23"/>
      <c r="AB187" s="23"/>
      <c r="AC187" s="23"/>
      <c r="AD187" s="23"/>
      <c r="AE187" s="58"/>
      <c r="AF187" s="58"/>
      <c r="AG187" s="58"/>
      <c r="AH187" s="58"/>
      <c r="AI187" s="58"/>
      <c r="AJ187" s="58"/>
    </row>
    <row r="188" spans="1:36" x14ac:dyDescent="0.2">
      <c r="B188" s="20"/>
      <c r="C188" s="20"/>
      <c r="D188" s="20"/>
      <c r="E188" s="20"/>
      <c r="F188" s="20"/>
      <c r="G188" s="23"/>
      <c r="H188" s="23"/>
      <c r="I188" s="23"/>
      <c r="J188" s="23"/>
      <c r="K188" s="23"/>
      <c r="L188" s="23"/>
      <c r="M188" s="23"/>
      <c r="N188" s="20"/>
      <c r="O188" s="20"/>
      <c r="P188" s="23"/>
      <c r="X188" s="23"/>
      <c r="Y188" s="23"/>
      <c r="Z188" s="23"/>
      <c r="AA188" s="23"/>
      <c r="AB188" s="23"/>
      <c r="AC188" s="23"/>
      <c r="AD188" s="23"/>
      <c r="AE188" s="58"/>
      <c r="AF188" s="58"/>
      <c r="AG188" s="58"/>
      <c r="AH188" s="58"/>
      <c r="AI188" s="58"/>
      <c r="AJ188" s="58"/>
    </row>
    <row r="189" spans="1:36" x14ac:dyDescent="0.2">
      <c r="G189" s="23"/>
      <c r="H189" s="23"/>
      <c r="I189" s="23"/>
      <c r="J189" s="23"/>
      <c r="K189" s="23"/>
      <c r="L189" s="23"/>
      <c r="M189" s="23"/>
      <c r="P189" s="23"/>
      <c r="Q189" s="23"/>
      <c r="R189" s="23"/>
      <c r="S189" s="23"/>
      <c r="T189" s="23"/>
      <c r="U189" s="23"/>
      <c r="V189" s="23"/>
      <c r="W189" s="23"/>
      <c r="X189" s="23"/>
      <c r="Y189" s="23"/>
      <c r="Z189" s="23"/>
      <c r="AA189" s="23"/>
      <c r="AB189" s="23"/>
      <c r="AC189" s="23"/>
      <c r="AD189" s="23"/>
      <c r="AE189" s="58"/>
      <c r="AF189" s="58"/>
      <c r="AG189" s="58"/>
      <c r="AH189" s="58"/>
      <c r="AI189" s="58"/>
      <c r="AJ189" s="58"/>
    </row>
    <row r="190" spans="1:36" ht="21" x14ac:dyDescent="0.2">
      <c r="A190" s="30"/>
      <c r="G190" s="23"/>
      <c r="H190" s="23"/>
      <c r="I190" s="23"/>
      <c r="J190" s="23"/>
      <c r="K190" s="23"/>
      <c r="L190" s="23"/>
      <c r="M190" s="23"/>
      <c r="P190" s="23"/>
      <c r="X190" s="23"/>
      <c r="Y190" s="23"/>
      <c r="Z190" s="23"/>
      <c r="AA190" s="23"/>
      <c r="AB190" s="23"/>
      <c r="AC190" s="23"/>
      <c r="AD190" s="23"/>
      <c r="AE190" s="58"/>
      <c r="AF190" s="58"/>
      <c r="AG190" s="58"/>
      <c r="AH190" s="58"/>
      <c r="AI190" s="58"/>
      <c r="AJ190" s="58"/>
    </row>
    <row r="191" spans="1:36" x14ac:dyDescent="0.2">
      <c r="B191" s="76"/>
      <c r="C191" s="76"/>
      <c r="D191" s="76"/>
      <c r="E191" s="76"/>
      <c r="F191" s="76"/>
      <c r="N191" s="76"/>
      <c r="O191" s="76"/>
      <c r="AE191" s="58"/>
      <c r="AF191" s="58"/>
      <c r="AG191" s="58"/>
      <c r="AH191" s="58"/>
      <c r="AI191" s="58"/>
      <c r="AJ191" s="58"/>
    </row>
    <row r="192" spans="1:36" x14ac:dyDescent="0.2">
      <c r="A192" s="25"/>
      <c r="B192" s="22"/>
      <c r="C192" s="22"/>
      <c r="D192" s="22"/>
      <c r="E192" s="22"/>
      <c r="F192" s="22"/>
      <c r="N192" s="22"/>
      <c r="O192" s="22"/>
      <c r="AE192" s="58"/>
      <c r="AF192" s="58"/>
      <c r="AG192" s="58"/>
      <c r="AH192" s="58"/>
      <c r="AI192" s="58"/>
      <c r="AJ192" s="58"/>
    </row>
    <row r="193" spans="1:36" x14ac:dyDescent="0.2">
      <c r="B193" s="76"/>
      <c r="C193" s="76"/>
      <c r="D193" s="76"/>
      <c r="E193" s="76"/>
      <c r="F193" s="76"/>
      <c r="N193" s="76"/>
      <c r="O193" s="76"/>
      <c r="AE193" s="58"/>
      <c r="AF193" s="58"/>
      <c r="AG193" s="58"/>
      <c r="AH193" s="58"/>
      <c r="AI193" s="58"/>
      <c r="AJ193" s="58"/>
    </row>
    <row r="194" spans="1:36" x14ac:dyDescent="0.2">
      <c r="G194" s="23"/>
      <c r="H194" s="23"/>
      <c r="I194" s="23"/>
      <c r="J194" s="23"/>
      <c r="K194" s="23"/>
      <c r="L194" s="23"/>
      <c r="M194" s="23"/>
      <c r="P194" s="23"/>
      <c r="Q194" s="23"/>
      <c r="R194" s="23"/>
      <c r="S194" s="23"/>
      <c r="T194" s="23"/>
      <c r="U194" s="23"/>
      <c r="V194" s="23"/>
      <c r="W194" s="23"/>
      <c r="X194" s="23"/>
      <c r="Y194" s="23"/>
      <c r="Z194" s="23"/>
      <c r="AA194" s="23"/>
      <c r="AB194" s="23"/>
      <c r="AC194" s="23"/>
      <c r="AD194" s="23"/>
      <c r="AE194" s="58"/>
      <c r="AF194" s="58"/>
      <c r="AG194" s="58"/>
      <c r="AH194" s="58"/>
      <c r="AI194" s="58"/>
      <c r="AJ194" s="58"/>
    </row>
    <row r="195" spans="1:36" x14ac:dyDescent="0.2">
      <c r="B195" s="76"/>
      <c r="C195" s="76"/>
      <c r="D195" s="76"/>
      <c r="E195" s="76"/>
      <c r="F195" s="76"/>
      <c r="N195" s="76"/>
      <c r="O195" s="76"/>
      <c r="Q195" s="23"/>
      <c r="W195" s="23"/>
      <c r="AE195" s="58"/>
      <c r="AF195" s="58"/>
      <c r="AG195" s="58"/>
      <c r="AH195" s="58"/>
      <c r="AI195" s="58"/>
      <c r="AJ195" s="58"/>
    </row>
    <row r="196" spans="1:36" x14ac:dyDescent="0.2">
      <c r="B196" s="76"/>
      <c r="C196" s="76"/>
      <c r="D196" s="76"/>
      <c r="E196" s="76"/>
      <c r="F196" s="76"/>
      <c r="N196" s="76"/>
      <c r="O196" s="76"/>
      <c r="Q196" s="23"/>
      <c r="W196" s="23"/>
      <c r="AE196" s="58"/>
      <c r="AF196" s="58"/>
      <c r="AG196" s="58"/>
      <c r="AH196" s="58"/>
      <c r="AI196" s="58"/>
      <c r="AJ196" s="58"/>
    </row>
    <row r="197" spans="1:36" x14ac:dyDescent="0.2">
      <c r="B197" s="76"/>
      <c r="C197" s="23"/>
      <c r="D197" s="23"/>
      <c r="E197" s="23"/>
      <c r="F197" s="23"/>
      <c r="N197" s="23"/>
      <c r="O197" s="23"/>
      <c r="AE197" s="58"/>
      <c r="AF197" s="58"/>
      <c r="AG197" s="58"/>
      <c r="AH197" s="58"/>
      <c r="AI197" s="58"/>
      <c r="AJ197" s="58"/>
    </row>
    <row r="198" spans="1:36" x14ac:dyDescent="0.2">
      <c r="B198" s="76"/>
      <c r="C198" s="23"/>
      <c r="D198" s="23"/>
      <c r="E198" s="23"/>
      <c r="F198" s="23"/>
      <c r="N198" s="23"/>
      <c r="O198" s="23"/>
      <c r="AE198" s="58"/>
      <c r="AF198" s="58"/>
      <c r="AG198" s="58"/>
      <c r="AH198" s="58"/>
      <c r="AI198" s="58"/>
      <c r="AJ198" s="58"/>
    </row>
    <row r="199" spans="1:36" ht="21" x14ac:dyDescent="0.2">
      <c r="A199" s="30"/>
      <c r="G199" s="23"/>
      <c r="H199" s="23"/>
      <c r="I199" s="23"/>
      <c r="J199" s="23"/>
      <c r="K199" s="23"/>
      <c r="L199" s="23"/>
      <c r="M199" s="23"/>
      <c r="P199" s="23"/>
      <c r="X199" s="23"/>
      <c r="Y199" s="23"/>
      <c r="Z199" s="23"/>
      <c r="AA199" s="23"/>
      <c r="AB199" s="23"/>
      <c r="AC199" s="23"/>
      <c r="AD199" s="23"/>
      <c r="AE199" s="58"/>
      <c r="AF199" s="58"/>
      <c r="AG199" s="58"/>
      <c r="AH199" s="58"/>
      <c r="AI199" s="58"/>
      <c r="AJ199" s="58"/>
    </row>
    <row r="200" spans="1:36" x14ac:dyDescent="0.2">
      <c r="B200" s="23"/>
      <c r="C200" s="23"/>
      <c r="D200" s="23"/>
      <c r="E200" s="23"/>
      <c r="F200" s="23"/>
      <c r="G200" s="23"/>
      <c r="H200" s="23"/>
      <c r="M200" s="23"/>
      <c r="N200" s="23"/>
      <c r="O200" s="23"/>
      <c r="P200" s="23"/>
      <c r="Q200" s="23"/>
      <c r="R200" s="23"/>
      <c r="S200" s="23"/>
      <c r="T200" s="23"/>
      <c r="U200" s="23"/>
      <c r="V200" s="23"/>
      <c r="W200" s="23"/>
      <c r="X200" s="23"/>
      <c r="Y200" s="23"/>
      <c r="AE200" s="58"/>
      <c r="AF200" s="58"/>
      <c r="AG200" s="58"/>
      <c r="AH200" s="58"/>
      <c r="AI200" s="58"/>
      <c r="AJ200" s="58"/>
    </row>
    <row r="201" spans="1:36" x14ac:dyDescent="0.2">
      <c r="B201" s="23"/>
      <c r="C201" s="23"/>
      <c r="D201" s="23"/>
      <c r="E201" s="23"/>
      <c r="F201" s="23"/>
      <c r="G201" s="23"/>
      <c r="H201" s="23"/>
      <c r="M201" s="23"/>
      <c r="N201" s="23"/>
      <c r="O201" s="23"/>
      <c r="P201" s="23"/>
      <c r="X201" s="23"/>
      <c r="Y201" s="23"/>
      <c r="AE201" s="58"/>
      <c r="AF201" s="58"/>
      <c r="AG201" s="58"/>
      <c r="AH201" s="58"/>
      <c r="AI201" s="58"/>
      <c r="AJ201" s="58"/>
    </row>
    <row r="202" spans="1:36" x14ac:dyDescent="0.2">
      <c r="B202" s="23"/>
      <c r="C202" s="23"/>
      <c r="D202" s="23"/>
      <c r="E202" s="23"/>
      <c r="F202" s="23"/>
      <c r="N202" s="23"/>
      <c r="O202" s="23"/>
      <c r="AE202" s="58"/>
      <c r="AF202" s="58"/>
      <c r="AG202" s="58"/>
      <c r="AH202" s="58"/>
      <c r="AI202" s="58"/>
      <c r="AJ202" s="58"/>
    </row>
    <row r="203" spans="1:36" x14ac:dyDescent="0.2">
      <c r="B203" s="78"/>
      <c r="C203" s="78"/>
      <c r="D203" s="78"/>
      <c r="E203" s="78"/>
      <c r="F203" s="78"/>
      <c r="N203" s="78"/>
      <c r="O203" s="78"/>
      <c r="AE203" s="58"/>
      <c r="AF203" s="58"/>
      <c r="AG203" s="58"/>
      <c r="AH203" s="58"/>
      <c r="AI203" s="58"/>
      <c r="AJ203" s="58"/>
    </row>
    <row r="204" spans="1:36" x14ac:dyDescent="0.2">
      <c r="B204" s="59"/>
      <c r="C204" s="59"/>
      <c r="D204" s="59"/>
      <c r="E204" s="59"/>
      <c r="F204" s="59"/>
      <c r="N204" s="59"/>
      <c r="O204" s="59"/>
      <c r="AE204" s="58"/>
      <c r="AF204" s="58"/>
      <c r="AG204" s="58"/>
      <c r="AH204" s="58"/>
      <c r="AI204" s="58"/>
      <c r="AJ204" s="58"/>
    </row>
    <row r="205" spans="1:36" ht="21" x14ac:dyDescent="0.2">
      <c r="A205" s="30"/>
      <c r="G205" s="23"/>
      <c r="H205" s="23"/>
      <c r="I205" s="23"/>
      <c r="J205" s="23"/>
      <c r="K205" s="23"/>
      <c r="L205" s="23"/>
      <c r="M205" s="23"/>
      <c r="P205" s="23"/>
      <c r="X205" s="23"/>
      <c r="Y205" s="23"/>
      <c r="Z205" s="23"/>
      <c r="AA205" s="23"/>
      <c r="AB205" s="23"/>
      <c r="AC205" s="23"/>
      <c r="AD205" s="23"/>
      <c r="AE205" s="58"/>
      <c r="AF205" s="58"/>
      <c r="AG205" s="58"/>
      <c r="AH205" s="58"/>
      <c r="AI205" s="58"/>
      <c r="AJ205" s="58"/>
    </row>
    <row r="206" spans="1:36" x14ac:dyDescent="0.2">
      <c r="B206" s="76"/>
      <c r="C206" s="76"/>
      <c r="D206" s="76"/>
      <c r="E206" s="76"/>
      <c r="F206" s="76"/>
      <c r="N206" s="76"/>
      <c r="O206" s="76"/>
      <c r="AE206" s="58"/>
      <c r="AF206" s="58"/>
      <c r="AG206" s="58"/>
      <c r="AH206" s="58"/>
      <c r="AI206" s="58"/>
      <c r="AJ206" s="58"/>
    </row>
    <row r="207" spans="1:36" x14ac:dyDescent="0.2">
      <c r="B207" s="76"/>
      <c r="C207" s="76"/>
      <c r="D207" s="76"/>
      <c r="E207" s="76"/>
      <c r="F207" s="76"/>
      <c r="N207" s="76"/>
      <c r="O207" s="76"/>
      <c r="AE207" s="58"/>
      <c r="AF207" s="58"/>
      <c r="AG207" s="58"/>
      <c r="AH207" s="58"/>
      <c r="AI207" s="58"/>
      <c r="AJ207" s="58"/>
    </row>
    <row r="208" spans="1:36" x14ac:dyDescent="0.2">
      <c r="R208" s="20"/>
      <c r="S208" s="20"/>
      <c r="T208" s="20"/>
      <c r="U208" s="20"/>
      <c r="V208" s="20"/>
      <c r="AE208" s="58"/>
      <c r="AF208" s="58"/>
      <c r="AG208" s="58"/>
      <c r="AH208" s="58"/>
      <c r="AI208" s="58"/>
      <c r="AJ208" s="58"/>
    </row>
    <row r="209" spans="1:36" x14ac:dyDescent="0.2">
      <c r="B209" s="76"/>
      <c r="C209" s="76"/>
      <c r="D209" s="76"/>
      <c r="E209" s="76"/>
      <c r="F209" s="76"/>
      <c r="N209" s="76"/>
      <c r="O209" s="76"/>
      <c r="AE209" s="58"/>
      <c r="AF209" s="58"/>
      <c r="AG209" s="58"/>
      <c r="AH209" s="58"/>
      <c r="AI209" s="58"/>
      <c r="AJ209" s="58"/>
    </row>
    <row r="210" spans="1:36" x14ac:dyDescent="0.2">
      <c r="AE210" s="58"/>
      <c r="AF210" s="58"/>
      <c r="AG210" s="58"/>
      <c r="AH210" s="58"/>
      <c r="AI210" s="58"/>
      <c r="AJ210" s="58"/>
    </row>
    <row r="211" spans="1:36" ht="21" x14ac:dyDescent="0.2">
      <c r="A211" s="30"/>
      <c r="AE211" s="58"/>
      <c r="AF211" s="58"/>
      <c r="AG211" s="58"/>
      <c r="AH211" s="58"/>
      <c r="AI211" s="58"/>
      <c r="AJ211" s="58"/>
    </row>
    <row r="212" spans="1:36" x14ac:dyDescent="0.2">
      <c r="B212" s="38"/>
      <c r="C212" s="38"/>
      <c r="D212" s="38"/>
      <c r="E212" s="38"/>
      <c r="F212" s="38"/>
      <c r="N212" s="38"/>
      <c r="O212" s="38"/>
      <c r="AE212" s="58"/>
      <c r="AF212" s="58"/>
      <c r="AG212" s="58"/>
      <c r="AH212" s="58"/>
      <c r="AI212" s="58"/>
      <c r="AJ212" s="58"/>
    </row>
    <row r="213" spans="1:36" x14ac:dyDescent="0.2">
      <c r="B213" s="76"/>
      <c r="C213" s="76"/>
      <c r="D213" s="76"/>
      <c r="E213" s="76"/>
      <c r="F213" s="76"/>
      <c r="I213" s="20"/>
      <c r="J213" s="20"/>
      <c r="K213" s="20"/>
      <c r="L213" s="20"/>
      <c r="N213" s="76"/>
      <c r="O213" s="76"/>
      <c r="Z213" s="20"/>
      <c r="AA213" s="20"/>
      <c r="AB213" s="20"/>
      <c r="AC213" s="20"/>
      <c r="AD213" s="20"/>
      <c r="AE213" s="58"/>
      <c r="AF213" s="58"/>
      <c r="AG213" s="58"/>
      <c r="AH213" s="58"/>
      <c r="AI213" s="58"/>
      <c r="AJ213" s="58"/>
    </row>
    <row r="214" spans="1:36" x14ac:dyDescent="0.2">
      <c r="AE214" s="58"/>
      <c r="AF214" s="58"/>
      <c r="AG214" s="58"/>
      <c r="AH214" s="58"/>
      <c r="AI214" s="58"/>
      <c r="AJ214" s="58"/>
    </row>
  </sheetData>
  <mergeCells count="10">
    <mergeCell ref="Z1:AD1"/>
    <mergeCell ref="A2:A3"/>
    <mergeCell ref="R13:V13"/>
    <mergeCell ref="A44:F44"/>
    <mergeCell ref="R47:V47"/>
    <mergeCell ref="A76:F76"/>
    <mergeCell ref="A1:F1"/>
    <mergeCell ref="I1:L1"/>
    <mergeCell ref="N1:N2"/>
    <mergeCell ref="R1:V1"/>
  </mergeCells>
  <pageMargins left="0.7" right="0.7" top="0.75" bottom="0.75" header="0.3" footer="0.3"/>
  <pageSetup scale="34" fitToHeight="0" orientation="portrait" horizontalDpi="4294967293"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Oswald's Historical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Salamone</dc:creator>
  <cp:lastModifiedBy>shreya Punj</cp:lastModifiedBy>
  <cp:lastPrinted>2022-07-15T17:56:18Z</cp:lastPrinted>
  <dcterms:created xsi:type="dcterms:W3CDTF">2022-03-02T23:53:15Z</dcterms:created>
  <dcterms:modified xsi:type="dcterms:W3CDTF">2025-12-10T21:00:40Z</dcterms:modified>
</cp:coreProperties>
</file>